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69F7B2CE-F817-496A-AACE-04B0F8AF9C6B}" xr6:coauthVersionLast="37" xr6:coauthVersionMax="37" xr10:uidLastSave="{00000000-0000-0000-0000-000000000000}"/>
  <bookViews>
    <workbookView xWindow="0" yWindow="0" windowWidth="28800" windowHeight="1162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C3" i="1"/>
  <c r="D3" i="1"/>
  <c r="J3" i="1" s="1"/>
  <c r="E3" i="1"/>
  <c r="F3" i="1"/>
  <c r="G3" i="1"/>
  <c r="H3" i="1"/>
  <c r="I3" i="1"/>
  <c r="B4" i="1"/>
  <c r="C4" i="1"/>
  <c r="D4" i="1"/>
  <c r="J4" i="1" s="1"/>
  <c r="E4" i="1"/>
  <c r="F4" i="1"/>
  <c r="G4" i="1"/>
  <c r="H4" i="1"/>
  <c r="I4" i="1"/>
  <c r="B5" i="1"/>
  <c r="C5" i="1"/>
  <c r="D5" i="1"/>
  <c r="E5" i="1"/>
  <c r="F5" i="1"/>
  <c r="G5" i="1"/>
  <c r="J5" i="1" s="1"/>
  <c r="H5" i="1"/>
  <c r="I5" i="1"/>
  <c r="B6" i="1"/>
  <c r="C6" i="1"/>
  <c r="D6" i="1"/>
  <c r="E6" i="1"/>
  <c r="F6" i="1"/>
  <c r="G6" i="1"/>
  <c r="H6" i="1"/>
  <c r="I6" i="1"/>
  <c r="J6" i="1"/>
  <c r="B7" i="1"/>
  <c r="C7" i="1"/>
  <c r="D7" i="1"/>
  <c r="J7" i="1" s="1"/>
  <c r="E7" i="1"/>
  <c r="F7" i="1"/>
  <c r="G7" i="1"/>
  <c r="H7" i="1"/>
  <c r="I7" i="1"/>
  <c r="B8" i="1"/>
  <c r="C8" i="1"/>
  <c r="D8" i="1"/>
  <c r="J8" i="1" s="1"/>
  <c r="E8" i="1"/>
  <c r="F8" i="1"/>
  <c r="G8" i="1"/>
  <c r="H8" i="1"/>
  <c r="I8" i="1"/>
  <c r="B9" i="1"/>
  <c r="C9" i="1"/>
  <c r="D9" i="1"/>
  <c r="E9" i="1"/>
  <c r="F9" i="1"/>
  <c r="G9" i="1"/>
  <c r="J9" i="1" s="1"/>
  <c r="H9" i="1"/>
  <c r="I9" i="1"/>
  <c r="B10" i="1"/>
  <c r="C10" i="1"/>
  <c r="D10" i="1"/>
  <c r="E10" i="1"/>
  <c r="F10" i="1"/>
  <c r="G10" i="1"/>
  <c r="H10" i="1"/>
  <c r="I10" i="1"/>
  <c r="J10" i="1"/>
  <c r="B11" i="1"/>
  <c r="C11" i="1"/>
  <c r="D11" i="1"/>
  <c r="J11" i="1" s="1"/>
  <c r="E11" i="1"/>
  <c r="F11" i="1"/>
  <c r="G11" i="1"/>
  <c r="H11" i="1"/>
  <c r="I11" i="1"/>
  <c r="B12" i="1"/>
  <c r="C12" i="1"/>
  <c r="D12" i="1"/>
  <c r="J12" i="1" s="1"/>
  <c r="E12" i="1"/>
  <c r="F12" i="1"/>
  <c r="G12" i="1"/>
  <c r="H12" i="1"/>
  <c r="I12" i="1"/>
  <c r="B13" i="1"/>
  <c r="C13" i="1"/>
  <c r="D13" i="1"/>
  <c r="E13" i="1"/>
  <c r="F13" i="1"/>
  <c r="G13" i="1"/>
  <c r="J13" i="1" s="1"/>
  <c r="H13" i="1"/>
  <c r="I13" i="1"/>
  <c r="B14" i="1"/>
  <c r="C14" i="1"/>
  <c r="D14" i="1"/>
  <c r="E14" i="1"/>
  <c r="F14" i="1"/>
  <c r="G14" i="1"/>
  <c r="H14" i="1"/>
  <c r="I14" i="1"/>
  <c r="J14" i="1"/>
  <c r="B15" i="1"/>
  <c r="C15" i="1"/>
  <c r="D15" i="1"/>
  <c r="J15" i="1" s="1"/>
  <c r="E15" i="1"/>
  <c r="F15" i="1"/>
  <c r="G15" i="1"/>
  <c r="H15" i="1"/>
  <c r="I15" i="1"/>
  <c r="B16" i="1"/>
  <c r="J16" i="1" s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J17" i="1" s="1"/>
  <c r="H17" i="1"/>
  <c r="I17" i="1"/>
  <c r="B18" i="1"/>
  <c r="C18" i="1"/>
  <c r="D18" i="1"/>
  <c r="E18" i="1"/>
  <c r="F18" i="1"/>
  <c r="G18" i="1"/>
  <c r="H18" i="1"/>
  <c r="I18" i="1"/>
  <c r="J18" i="1"/>
  <c r="B19" i="1"/>
  <c r="C19" i="1"/>
  <c r="D19" i="1"/>
  <c r="J19" i="1" s="1"/>
  <c r="E19" i="1"/>
  <c r="F19" i="1"/>
  <c r="G19" i="1"/>
  <c r="H19" i="1"/>
  <c r="I19" i="1"/>
  <c r="B20" i="1"/>
  <c r="J20" i="1" s="1"/>
  <c r="C20" i="1"/>
  <c r="D20" i="1"/>
  <c r="E20" i="1"/>
  <c r="F20" i="1"/>
  <c r="G20" i="1"/>
  <c r="H20" i="1"/>
  <c r="I20" i="1"/>
  <c r="B21" i="1"/>
  <c r="C21" i="1"/>
  <c r="D21" i="1"/>
  <c r="E21" i="1"/>
  <c r="F21" i="1"/>
  <c r="G21" i="1"/>
  <c r="J21" i="1" s="1"/>
  <c r="H21" i="1"/>
  <c r="I21" i="1"/>
  <c r="B22" i="1"/>
  <c r="C22" i="1"/>
  <c r="D22" i="1"/>
  <c r="E22" i="1"/>
  <c r="F22" i="1"/>
  <c r="G22" i="1"/>
  <c r="H22" i="1"/>
  <c r="I22" i="1"/>
  <c r="J22" i="1"/>
  <c r="B23" i="1"/>
  <c r="C23" i="1"/>
  <c r="D23" i="1"/>
  <c r="J23" i="1" s="1"/>
  <c r="E23" i="1"/>
  <c r="F23" i="1"/>
  <c r="G23" i="1"/>
  <c r="H23" i="1"/>
  <c r="I23" i="1"/>
  <c r="B24" i="1"/>
  <c r="J24" i="1" s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J25" i="1" s="1"/>
  <c r="H25" i="1"/>
  <c r="I25" i="1"/>
  <c r="B26" i="1"/>
  <c r="C26" i="1"/>
  <c r="D26" i="1"/>
  <c r="E26" i="1"/>
  <c r="F26" i="1"/>
  <c r="G26" i="1"/>
  <c r="H26" i="1"/>
  <c r="I26" i="1"/>
  <c r="J26" i="1"/>
  <c r="B27" i="1"/>
  <c r="C27" i="1"/>
  <c r="D27" i="1"/>
  <c r="J27" i="1" s="1"/>
  <c r="E27" i="1"/>
  <c r="F27" i="1"/>
  <c r="G27" i="1"/>
  <c r="H27" i="1"/>
  <c r="I27" i="1"/>
  <c r="B28" i="1"/>
  <c r="J28" i="1" s="1"/>
  <c r="C28" i="1"/>
  <c r="D28" i="1"/>
  <c r="E28" i="1"/>
  <c r="F28" i="1"/>
  <c r="G28" i="1"/>
  <c r="H28" i="1"/>
  <c r="I28" i="1"/>
  <c r="B29" i="1"/>
  <c r="C29" i="1"/>
  <c r="D29" i="1"/>
  <c r="E29" i="1"/>
  <c r="F29" i="1"/>
  <c r="G29" i="1"/>
  <c r="J29" i="1" s="1"/>
  <c r="H29" i="1"/>
  <c r="I29" i="1"/>
  <c r="B30" i="1"/>
  <c r="C30" i="1"/>
  <c r="D30" i="1"/>
  <c r="E30" i="1"/>
  <c r="F30" i="1"/>
  <c r="G30" i="1"/>
  <c r="H30" i="1"/>
  <c r="I30" i="1"/>
  <c r="J30" i="1"/>
  <c r="B31" i="1"/>
  <c r="C31" i="1"/>
  <c r="D31" i="1"/>
  <c r="J31" i="1" s="1"/>
  <c r="E31" i="1"/>
  <c r="F31" i="1"/>
  <c r="G31" i="1"/>
  <c r="H31" i="1"/>
  <c r="I31" i="1"/>
  <c r="B32" i="1"/>
  <c r="J32" i="1" s="1"/>
  <c r="C32" i="1"/>
  <c r="D32" i="1"/>
  <c r="E32" i="1"/>
  <c r="F32" i="1"/>
  <c r="G32" i="1"/>
  <c r="H32" i="1"/>
  <c r="I32" i="1"/>
  <c r="B33" i="1"/>
  <c r="J33" i="1" s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J34" i="1"/>
  <c r="B35" i="1"/>
  <c r="C35" i="1"/>
  <c r="D35" i="1"/>
  <c r="J35" i="1" s="1"/>
  <c r="E35" i="1"/>
  <c r="F35" i="1"/>
  <c r="G35" i="1"/>
  <c r="H35" i="1"/>
  <c r="I35" i="1"/>
  <c r="B36" i="1"/>
  <c r="J36" i="1" s="1"/>
  <c r="C36" i="1"/>
  <c r="D36" i="1"/>
  <c r="E36" i="1"/>
  <c r="F36" i="1"/>
  <c r="G36" i="1"/>
  <c r="H36" i="1"/>
  <c r="I36" i="1"/>
  <c r="B37" i="1"/>
  <c r="J37" i="1" s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  <c r="J38" i="1"/>
  <c r="B39" i="1"/>
  <c r="C39" i="1"/>
  <c r="D39" i="1"/>
  <c r="J39" i="1" s="1"/>
  <c r="E39" i="1"/>
  <c r="F39" i="1"/>
  <c r="G39" i="1"/>
  <c r="H39" i="1"/>
  <c r="I39" i="1"/>
  <c r="B40" i="1"/>
  <c r="J40" i="1" s="1"/>
  <c r="C40" i="1"/>
  <c r="D40" i="1"/>
  <c r="E40" i="1"/>
  <c r="F40" i="1"/>
  <c r="G40" i="1"/>
  <c r="H40" i="1"/>
  <c r="I40" i="1"/>
  <c r="B41" i="1"/>
  <c r="J41" i="1" s="1"/>
  <c r="C41" i="1"/>
  <c r="D41" i="1"/>
  <c r="E41" i="1"/>
  <c r="F41" i="1"/>
  <c r="G41" i="1"/>
  <c r="H41" i="1"/>
  <c r="I41" i="1"/>
  <c r="B42" i="1"/>
  <c r="C42" i="1"/>
  <c r="D42" i="1"/>
  <c r="E42" i="1"/>
  <c r="F42" i="1"/>
  <c r="G42" i="1"/>
  <c r="H42" i="1"/>
  <c r="I42" i="1"/>
  <c r="J42" i="1"/>
  <c r="B43" i="1"/>
  <c r="C43" i="1"/>
  <c r="D43" i="1"/>
  <c r="J43" i="1" s="1"/>
  <c r="E43" i="1"/>
  <c r="F43" i="1"/>
  <c r="G43" i="1"/>
  <c r="H43" i="1"/>
  <c r="I43" i="1"/>
  <c r="B44" i="1"/>
  <c r="J44" i="1" s="1"/>
  <c r="C44" i="1"/>
  <c r="D44" i="1"/>
  <c r="E44" i="1"/>
  <c r="F44" i="1"/>
  <c r="G44" i="1"/>
  <c r="H44" i="1"/>
  <c r="I44" i="1"/>
  <c r="B45" i="1"/>
  <c r="J45" i="1" s="1"/>
  <c r="C45" i="1"/>
  <c r="D45" i="1"/>
  <c r="E45" i="1"/>
  <c r="F45" i="1"/>
  <c r="G45" i="1"/>
  <c r="H45" i="1"/>
  <c r="I45" i="1"/>
  <c r="B46" i="1"/>
  <c r="C46" i="1"/>
  <c r="D46" i="1"/>
  <c r="E46" i="1"/>
  <c r="F46" i="1"/>
  <c r="G46" i="1"/>
  <c r="H46" i="1"/>
  <c r="I46" i="1"/>
  <c r="J46" i="1"/>
  <c r="B47" i="1"/>
  <c r="C47" i="1"/>
  <c r="D47" i="1"/>
  <c r="J47" i="1" s="1"/>
  <c r="E47" i="1"/>
  <c r="F47" i="1"/>
  <c r="G47" i="1"/>
  <c r="H47" i="1"/>
  <c r="I47" i="1"/>
  <c r="B48" i="1"/>
  <c r="J48" i="1" s="1"/>
  <c r="C48" i="1"/>
  <c r="D48" i="1"/>
  <c r="E48" i="1"/>
  <c r="F48" i="1"/>
  <c r="G48" i="1"/>
  <c r="H48" i="1"/>
  <c r="I48" i="1"/>
  <c r="B49" i="1"/>
  <c r="J49" i="1" s="1"/>
  <c r="C49" i="1"/>
  <c r="D49" i="1"/>
  <c r="E49" i="1"/>
  <c r="F49" i="1"/>
  <c r="G49" i="1"/>
  <c r="H49" i="1"/>
  <c r="I49" i="1"/>
  <c r="B50" i="1"/>
  <c r="C50" i="1"/>
  <c r="D50" i="1"/>
  <c r="E50" i="1"/>
  <c r="F50" i="1"/>
  <c r="G50" i="1"/>
  <c r="H50" i="1"/>
  <c r="I50" i="1"/>
  <c r="J50" i="1"/>
  <c r="B51" i="1"/>
  <c r="C51" i="1"/>
  <c r="D51" i="1"/>
  <c r="J51" i="1" s="1"/>
  <c r="E51" i="1"/>
  <c r="F51" i="1"/>
  <c r="G51" i="1"/>
  <c r="H51" i="1"/>
  <c r="I51" i="1"/>
  <c r="B52" i="1"/>
  <c r="J52" i="1" s="1"/>
  <c r="C52" i="1"/>
  <c r="D52" i="1"/>
  <c r="E52" i="1"/>
  <c r="F52" i="1"/>
  <c r="G52" i="1"/>
  <c r="H52" i="1"/>
  <c r="I52" i="1"/>
  <c r="B53" i="1"/>
  <c r="J53" i="1" s="1"/>
  <c r="C53" i="1"/>
  <c r="D53" i="1"/>
  <c r="E53" i="1"/>
  <c r="F53" i="1"/>
  <c r="G53" i="1"/>
  <c r="H53" i="1"/>
  <c r="I53" i="1"/>
  <c r="B54" i="1"/>
  <c r="C54" i="1"/>
  <c r="D54" i="1"/>
  <c r="E54" i="1"/>
  <c r="F54" i="1"/>
  <c r="G54" i="1"/>
  <c r="H54" i="1"/>
  <c r="I54" i="1"/>
  <c r="J54" i="1"/>
  <c r="B55" i="1"/>
  <c r="C55" i="1"/>
  <c r="D55" i="1"/>
  <c r="J55" i="1" s="1"/>
  <c r="E55" i="1"/>
  <c r="F55" i="1"/>
  <c r="G55" i="1"/>
  <c r="H55" i="1"/>
  <c r="I55" i="1"/>
  <c r="B56" i="1"/>
  <c r="J56" i="1" s="1"/>
  <c r="C56" i="1"/>
  <c r="D56" i="1"/>
  <c r="E56" i="1"/>
  <c r="F56" i="1"/>
  <c r="G56" i="1"/>
  <c r="H56" i="1"/>
  <c r="I56" i="1"/>
  <c r="B57" i="1"/>
  <c r="J57" i="1" s="1"/>
  <c r="C57" i="1"/>
  <c r="D57" i="1"/>
  <c r="E57" i="1"/>
  <c r="F57" i="1"/>
  <c r="G57" i="1"/>
  <c r="H57" i="1"/>
  <c r="I57" i="1"/>
  <c r="B58" i="1"/>
  <c r="C58" i="1"/>
  <c r="D58" i="1"/>
  <c r="E58" i="1"/>
  <c r="F58" i="1"/>
  <c r="G58" i="1"/>
  <c r="H58" i="1"/>
  <c r="I58" i="1"/>
  <c r="J58" i="1"/>
  <c r="B59" i="1"/>
  <c r="C59" i="1"/>
  <c r="D59" i="1"/>
  <c r="J59" i="1" s="1"/>
  <c r="E59" i="1"/>
  <c r="F59" i="1"/>
  <c r="G59" i="1"/>
  <c r="H59" i="1"/>
  <c r="I59" i="1"/>
  <c r="B60" i="1"/>
  <c r="J60" i="1" s="1"/>
  <c r="C60" i="1"/>
  <c r="D60" i="1"/>
  <c r="E60" i="1"/>
  <c r="F60" i="1"/>
  <c r="G60" i="1"/>
  <c r="H60" i="1"/>
  <c r="I60" i="1"/>
  <c r="B61" i="1"/>
  <c r="J61" i="1" s="1"/>
  <c r="C61" i="1"/>
  <c r="D61" i="1"/>
  <c r="E61" i="1"/>
  <c r="F61" i="1"/>
  <c r="G61" i="1"/>
  <c r="H61" i="1"/>
  <c r="I61" i="1"/>
  <c r="B62" i="1"/>
  <c r="C62" i="1"/>
  <c r="D62" i="1"/>
  <c r="E62" i="1"/>
  <c r="F62" i="1"/>
  <c r="G62" i="1"/>
  <c r="H62" i="1"/>
  <c r="I62" i="1"/>
  <c r="J62" i="1"/>
  <c r="B63" i="1"/>
  <c r="C63" i="1"/>
  <c r="D63" i="1"/>
  <c r="J63" i="1" s="1"/>
  <c r="E63" i="1"/>
  <c r="F63" i="1"/>
  <c r="G63" i="1"/>
  <c r="H63" i="1"/>
  <c r="I63" i="1"/>
  <c r="B64" i="1"/>
  <c r="J64" i="1" s="1"/>
  <c r="C64" i="1"/>
  <c r="D64" i="1"/>
  <c r="E64" i="1"/>
  <c r="F64" i="1"/>
  <c r="G64" i="1"/>
  <c r="H64" i="1"/>
  <c r="I64" i="1"/>
  <c r="B65" i="1"/>
  <c r="J65" i="1" s="1"/>
  <c r="C65" i="1"/>
  <c r="D65" i="1"/>
  <c r="E65" i="1"/>
  <c r="F65" i="1"/>
  <c r="G65" i="1"/>
  <c r="H65" i="1"/>
  <c r="I65" i="1"/>
  <c r="B66" i="1"/>
  <c r="C66" i="1"/>
  <c r="D66" i="1"/>
  <c r="E66" i="1"/>
  <c r="F66" i="1"/>
  <c r="G66" i="1"/>
  <c r="H66" i="1"/>
  <c r="I66" i="1"/>
  <c r="J66" i="1"/>
  <c r="B67" i="1"/>
  <c r="C67" i="1"/>
  <c r="D67" i="1"/>
  <c r="J67" i="1" s="1"/>
  <c r="E67" i="1"/>
  <c r="F67" i="1"/>
  <c r="G67" i="1"/>
  <c r="H67" i="1"/>
  <c r="I67" i="1"/>
  <c r="B68" i="1"/>
  <c r="J68" i="1" s="1"/>
  <c r="C68" i="1"/>
  <c r="D68" i="1"/>
  <c r="E68" i="1"/>
  <c r="F68" i="1"/>
  <c r="G68" i="1"/>
  <c r="H68" i="1"/>
  <c r="I68" i="1"/>
  <c r="B69" i="1"/>
  <c r="J69" i="1" s="1"/>
  <c r="C69" i="1"/>
  <c r="D69" i="1"/>
  <c r="E69" i="1"/>
  <c r="F69" i="1"/>
  <c r="G69" i="1"/>
  <c r="H69" i="1"/>
  <c r="I69" i="1"/>
  <c r="B70" i="1"/>
  <c r="C70" i="1"/>
  <c r="D70" i="1"/>
  <c r="E70" i="1"/>
  <c r="F70" i="1"/>
  <c r="G70" i="1"/>
  <c r="H70" i="1"/>
  <c r="I70" i="1"/>
  <c r="J70" i="1"/>
  <c r="B71" i="1"/>
  <c r="C71" i="1"/>
  <c r="D71" i="1"/>
  <c r="J71" i="1" s="1"/>
  <c r="E71" i="1"/>
  <c r="F71" i="1"/>
  <c r="G71" i="1"/>
  <c r="H71" i="1"/>
  <c r="I71" i="1"/>
  <c r="B72" i="1"/>
  <c r="J72" i="1" s="1"/>
  <c r="C72" i="1"/>
  <c r="D72" i="1"/>
  <c r="E72" i="1"/>
  <c r="F72" i="1"/>
  <c r="G72" i="1"/>
  <c r="H72" i="1"/>
  <c r="I72" i="1"/>
  <c r="B73" i="1"/>
  <c r="J73" i="1" s="1"/>
  <c r="C73" i="1"/>
  <c r="D73" i="1"/>
  <c r="E73" i="1"/>
  <c r="F73" i="1"/>
  <c r="G73" i="1"/>
  <c r="H73" i="1"/>
  <c r="I73" i="1"/>
  <c r="B74" i="1"/>
  <c r="C74" i="1"/>
  <c r="D74" i="1"/>
  <c r="E74" i="1"/>
  <c r="F74" i="1"/>
  <c r="G74" i="1"/>
  <c r="H74" i="1"/>
  <c r="I74" i="1"/>
  <c r="J74" i="1"/>
  <c r="B75" i="1"/>
  <c r="C75" i="1"/>
  <c r="D75" i="1"/>
  <c r="E75" i="1"/>
  <c r="F75" i="1"/>
  <c r="G75" i="1"/>
  <c r="H75" i="1"/>
  <c r="J75" i="1" s="1"/>
  <c r="I75" i="1"/>
  <c r="B76" i="1"/>
  <c r="J76" i="1" s="1"/>
  <c r="C76" i="1"/>
  <c r="D76" i="1"/>
  <c r="E76" i="1"/>
  <c r="F76" i="1"/>
  <c r="G76" i="1"/>
  <c r="H76" i="1"/>
  <c r="I76" i="1"/>
  <c r="B77" i="1"/>
  <c r="J77" i="1" s="1"/>
  <c r="C77" i="1"/>
  <c r="D77" i="1"/>
  <c r="E77" i="1"/>
  <c r="F77" i="1"/>
  <c r="G77" i="1"/>
  <c r="H77" i="1"/>
  <c r="I77" i="1"/>
  <c r="B78" i="1"/>
  <c r="C78" i="1"/>
  <c r="D78" i="1"/>
  <c r="E78" i="1"/>
  <c r="F78" i="1"/>
  <c r="G78" i="1"/>
  <c r="H78" i="1"/>
  <c r="I78" i="1"/>
  <c r="J78" i="1"/>
  <c r="B79" i="1"/>
  <c r="C79" i="1"/>
  <c r="D79" i="1"/>
  <c r="E79" i="1"/>
  <c r="F79" i="1"/>
  <c r="G79" i="1"/>
  <c r="H79" i="1"/>
  <c r="J79" i="1" s="1"/>
  <c r="I79" i="1"/>
  <c r="B80" i="1"/>
  <c r="J80" i="1" s="1"/>
  <c r="C80" i="1"/>
  <c r="D80" i="1"/>
  <c r="E80" i="1"/>
  <c r="F80" i="1"/>
  <c r="G80" i="1"/>
  <c r="H80" i="1"/>
  <c r="I80" i="1"/>
  <c r="B81" i="1"/>
  <c r="J81" i="1" s="1"/>
  <c r="C81" i="1"/>
  <c r="D81" i="1"/>
  <c r="E81" i="1"/>
  <c r="F81" i="1"/>
  <c r="G81" i="1"/>
  <c r="H81" i="1"/>
  <c r="I81" i="1"/>
  <c r="B82" i="1"/>
  <c r="C82" i="1"/>
  <c r="D82" i="1"/>
  <c r="E82" i="1"/>
  <c r="F82" i="1"/>
  <c r="G82" i="1"/>
  <c r="H82" i="1"/>
  <c r="I82" i="1"/>
  <c r="J82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<sst xmlns="http://schemas.openxmlformats.org/spreadsheetml/2006/main" count="9" uniqueCount="9">
  <si>
    <t>Имя</t>
  </si>
  <si>
    <t>Фамилия</t>
  </si>
  <si>
    <t>Почта</t>
  </si>
  <si>
    <t>Возраст</t>
  </si>
  <si>
    <t>ОР</t>
  </si>
  <si>
    <t>Отчество</t>
  </si>
  <si>
    <t>Пол</t>
  </si>
  <si>
    <t>Город</t>
  </si>
  <si>
    <t>Адрес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</si>
</sst>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tabSelected="1" zoomScaleNormal="100" workbookViewId="0">
      <selection activeCell="H2" sqref="H2"/>
    </sheetView>
  </sheetViews>
  <sheetFormatPr defaultRowHeight="15" x14ac:dyDescent="0.25"/>
  <cols>
    <col min="2" max="2" width="33" customWidth="1"/>
    <col min="3" max="3" width="37.5703125" customWidth="1"/>
    <col min="4" max="4" width="40.140625" customWidth="1"/>
    <col min="5" max="5" width="21.140625" customWidth="1"/>
    <col min="6" max="6" width="22" customWidth="1"/>
    <col min="7" max="7" width="25.85546875" customWidth="1"/>
    <col min="8" max="8" width="20.85546875" customWidth="1"/>
    <col min="9" max="9" width="22.42578125" customWidth="1"/>
    <col min="10" max="10" width="32" customWidth="1"/>
  </cols>
  <sheetData>
    <row r="1" spans="1:11" x14ac:dyDescent="0.25">
      <c r="B1" s="1" t="s">
        <v>0</v>
      </c>
      <c r="C1" s="1" t="s">
        <v>1</v>
      </c>
      <c r="D1" t="s">
        <v>5</v>
      </c>
      <c r="E1" s="1" t="s">
        <v>2</v>
      </c>
      <c r="F1" s="1" t="s">
        <v>3</v>
      </c>
      <c r="G1" s="6" t="s">
        <v>6</v>
      </c>
      <c r="H1" s="6" t="s">
        <v>7</v>
      </c>
      <c r="I1" s="5" t="s">
        <v>8</v>
      </c>
      <c r="J1" s="1" t="s">
        <v>4</v>
      </c>
      <c r="K1" s="2"/>
    </row>
    <row r="2" spans="1:11" x14ac:dyDescent="0.25">
      <c r="A2" s="1">
        <v>1</v>
      </c>
      <c r="B2" t="str">
        <f>CHOOSE(INT((ROW(A1)-1)/2187) + 1, "Заполнено корректно", "Некорректный ввод", "Пустой ввод")</f>
        <v>Заполнено корректно</v>
      </c>
      <c r="C2" t="str">
        <f>CHOOSE(MOD(INT((ROW(A1)-1)/729), 3) + 1, "Заполнено корректно", "Некорректный ввод", "Пустой ввод")</f>
        <v>Заполнено корректно</v>
      </c>
      <c r="D2" t="str">
        <f>CHOOSE(MOD(INT((ROW(A1)-1)/243), 3) + 1, "Заполнено корректно", "Некорректный ввод", "Пустой ввод")</f>
        <v>Заполнено корректно</v>
      </c>
      <c r="E2" t="str">
        <f>CHOOSE(MOD(INT((ROW(A1)-1)/81), 3) + 1, "Заполнено корректно", "Некорректный ввод", "Пустой ввод")</f>
        <v>Заполнено корректно</v>
      </c>
      <c r="F2" s="2" t="str">
        <f>CHOOSE(MOD(INT((ROW(A1)-1)/27), 3) + 1, "Заполнено корректно", "Некорректный ввод", "Пустой ввод")</f>
        <v>Заполнено корректно</v>
      </c>
      <c r="G2" t="str">
        <f>CHOOSE(MOD(INT((ROW(A1)-1)/9), 3) + 1, "М", "Ж", "Не выбрано")</f>
        <v>М</v>
      </c>
      <c r="H2" t="str">
        <f>CHOOSE(MOD(INT((ROW(A1)-1)/3), 3) + 1, "Санкт-Петербург", "Другой город из списка", "Некорректный ввод")</f>
        <v>Санкт-Петербург</v>
      </c>
      <c r="I2" t="str">
        <f>CHOOSE(MOD(ROW(A1)-1, 3) + 1, "Заполнено корректно", "Некорректный ввод", "Пустой ввод")</f>
        <v>Заполнено корректно</v>
      </c>
      <c r="J2" t="str">
        <f>IF(AND(B2="Заполнено корректно",C2="Заполнено корректно",OR(D2="Заполнено корректно",D2="Пустой ввод"),E2="Заполнено корректно",F2="Заполнено корректно",OR(G2="М",G2="Ж"),OR(H2="Санкт-Петербург",H2="Другой город из списка"),I2="Заполнено корректно"),"Регистрация пользователя","Пользователь не зарегистрирован")</f>
        <v>Регистрация пользователя</v>
      </c>
      <c r="K2" s="3"/>
    </row>
    <row r="3" spans="1:11" x14ac:dyDescent="0.25">
      <c r="A3" s="4">
        <v>2</v>
      </c>
      <c r="B3" t="str">
        <f t="shared" ref="B3:B66" si="0">CHOOSE(INT((ROW(A2)-1)/2187) + 1, "Заполнено корректно", "Некорректный ввод", "Пустой ввод")</f>
        <v>Заполнено корректно</v>
      </c>
      <c r="C3" t="str">
        <f t="shared" ref="C3:C66" si="1">CHOOSE(MOD(INT((ROW(A2)-1)/729), 3) + 1, "Заполнено корректно", "Некорректный ввод", "Пустой ввод")</f>
        <v>Заполнено корректно</v>
      </c>
      <c r="D3" t="str">
        <f t="shared" ref="D3:D66" si="2">CHOOSE(MOD(INT((ROW(A2)-1)/243), 3) + 1, "Заполнено корректно", "Некорректный ввод", "Пустой ввод")</f>
        <v>Заполнено корректно</v>
      </c>
      <c r="E3" t="str">
        <f t="shared" ref="E3:E66" si="3">CHOOSE(MOD(INT((ROW(A2)-1)/81), 3) + 1, "Заполнено корректно", "Некорректный ввод", "Пустой ввод")</f>
        <v>Заполнено корректно</v>
      </c>
      <c r="F3" s="2" t="str">
        <f t="shared" ref="F3:F66" si="4">CHOOSE(MOD(INT((ROW(A2)-1)/27), 3) + 1, "Заполнено корректно", "Некорректный ввод", "Пустой ввод")</f>
        <v>Заполнено корректно</v>
      </c>
      <c r="G3" t="str">
        <f t="shared" ref="G3:G66" si="5">CHOOSE(MOD(INT((ROW(A2)-1)/9), 3) + 1, "М", "Ж", "Не выбрано")</f>
        <v>М</v>
      </c>
      <c r="H3" t="str">
        <f t="shared" ref="H3:H66" si="6">CHOOSE(MOD(INT((ROW(A2)-1)/3), 3) + 1, "Санкт-Петербург", "Другой город из списка", "Некорректный ввод")</f>
        <v>Санкт-Петербург</v>
      </c>
      <c r="I3" t="str">
        <f t="shared" ref="I3:I66" si="7">CHOOSE(MOD(ROW(A2)-1, 3) + 1, "Заполнено корректно", "Некорректный ввод", "Пустой ввод")</f>
        <v>Некорректный ввод</v>
      </c>
      <c r="J3" t="str">
        <f t="shared" ref="J3:J66" si="8">IF(AND(B3="Заполнено корректно",C3="Заполнено корректно",OR(D3="Заполнено корректно",D3="Пустой ввод"),E3="Заполнено корректно",F3="Заполнено корректно",OR(G3="М",G3="Ж"),OR(H3="Санкт-Петербург",H3="Другой город из списка"),I3="Заполнено корректно"),"Регистрация пользователя","Пользователь не зарегистрирован")</f>
        <v>Пользователь не зарегистрирован</v>
      </c>
      <c r="K3" s="3"/>
    </row>
    <row r="4" spans="1:11" x14ac:dyDescent="0.25">
      <c r="A4" s="4">
        <v>3</v>
      </c>
      <c r="B4" t="str">
        <f t="shared" si="0"/>
        <v>Заполнено корректно</v>
      </c>
      <c r="C4" t="str">
        <f t="shared" si="1"/>
        <v>Заполнено корректно</v>
      </c>
      <c r="D4" t="str">
        <f t="shared" si="2"/>
        <v>Заполнено корректно</v>
      </c>
      <c r="E4" t="str">
        <f t="shared" si="3"/>
        <v>Заполнено корректно</v>
      </c>
      <c r="F4" s="2" t="str">
        <f t="shared" si="4"/>
        <v>Заполнено корректно</v>
      </c>
      <c r="G4" t="str">
        <f t="shared" si="5"/>
        <v>М</v>
      </c>
      <c r="H4" t="str">
        <f t="shared" si="6"/>
        <v>Санкт-Петербург</v>
      </c>
      <c r="I4" t="str">
        <f t="shared" si="7"/>
        <v>Пустой ввод</v>
      </c>
      <c r="J4" t="str">
        <f t="shared" si="8"/>
        <v>Пользователь не зарегистрирован</v>
      </c>
    </row>
    <row r="5" spans="1:11" x14ac:dyDescent="0.25">
      <c r="A5" s="1">
        <v>4</v>
      </c>
      <c r="B5" t="str">
        <f t="shared" si="0"/>
        <v>Заполнено корректно</v>
      </c>
      <c r="C5" t="str">
        <f t="shared" si="1"/>
        <v>Заполнено корректно</v>
      </c>
      <c r="D5" t="str">
        <f t="shared" si="2"/>
        <v>Заполнено корректно</v>
      </c>
      <c r="E5" t="str">
        <f t="shared" si="3"/>
        <v>Заполнено корректно</v>
      </c>
      <c r="F5" s="2" t="str">
        <f t="shared" si="4"/>
        <v>Заполнено корректно</v>
      </c>
      <c r="G5" t="str">
        <f t="shared" si="5"/>
        <v>М</v>
      </c>
      <c r="H5" t="str">
        <f t="shared" si="6"/>
        <v>Другой город из списка</v>
      </c>
      <c r="I5" t="str">
        <f t="shared" si="7"/>
        <v>Заполнено корректно</v>
      </c>
      <c r="J5" t="str">
        <f t="shared" si="8"/>
        <v>Регистрация пользователя</v>
      </c>
    </row>
    <row r="6" spans="1:11" x14ac:dyDescent="0.25">
      <c r="A6" s="1">
        <v>5</v>
      </c>
      <c r="B6" t="str">
        <f t="shared" si="0"/>
        <v>Заполнено корректно</v>
      </c>
      <c r="C6" t="str">
        <f t="shared" si="1"/>
        <v>Заполнено корректно</v>
      </c>
      <c r="D6" t="str">
        <f t="shared" si="2"/>
        <v>Заполнено корректно</v>
      </c>
      <c r="E6" t="str">
        <f t="shared" si="3"/>
        <v>Заполнено корректно</v>
      </c>
      <c r="F6" s="2" t="str">
        <f t="shared" si="4"/>
        <v>Заполнено корректно</v>
      </c>
      <c r="G6" t="str">
        <f t="shared" si="5"/>
        <v>М</v>
      </c>
      <c r="H6" t="str">
        <f t="shared" si="6"/>
        <v>Другой город из списка</v>
      </c>
      <c r="I6" t="str">
        <f t="shared" si="7"/>
        <v>Некорректный ввод</v>
      </c>
      <c r="J6" t="str">
        <f t="shared" si="8"/>
        <v>Пользователь не зарегистрирован</v>
      </c>
    </row>
    <row r="7" spans="1:11" x14ac:dyDescent="0.25">
      <c r="A7" s="1">
        <v>6</v>
      </c>
      <c r="B7" t="str">
        <f t="shared" si="0"/>
        <v>Заполнено корректно</v>
      </c>
      <c r="C7" t="str">
        <f t="shared" si="1"/>
        <v>Заполнено корректно</v>
      </c>
      <c r="D7" t="str">
        <f t="shared" si="2"/>
        <v>Заполнено корректно</v>
      </c>
      <c r="E7" t="str">
        <f t="shared" si="3"/>
        <v>Заполнено корректно</v>
      </c>
      <c r="F7" s="2" t="str">
        <f t="shared" si="4"/>
        <v>Заполнено корректно</v>
      </c>
      <c r="G7" t="str">
        <f t="shared" si="5"/>
        <v>М</v>
      </c>
      <c r="H7" t="str">
        <f t="shared" si="6"/>
        <v>Другой город из списка</v>
      </c>
      <c r="I7" t="str">
        <f t="shared" si="7"/>
        <v>Пустой ввод</v>
      </c>
      <c r="J7" t="str">
        <f t="shared" si="8"/>
        <v>Пользователь не зарегистрирован</v>
      </c>
    </row>
    <row r="8" spans="1:11" x14ac:dyDescent="0.25">
      <c r="A8" s="4">
        <v>7</v>
      </c>
      <c r="B8" t="str">
        <f t="shared" si="0"/>
        <v>Заполнено корректно</v>
      </c>
      <c r="C8" t="str">
        <f t="shared" si="1"/>
        <v>Заполнено корректно</v>
      </c>
      <c r="D8" t="str">
        <f t="shared" si="2"/>
        <v>Заполнено корректно</v>
      </c>
      <c r="E8" t="str">
        <f t="shared" si="3"/>
        <v>Заполнено корректно</v>
      </c>
      <c r="F8" s="2" t="str">
        <f t="shared" si="4"/>
        <v>Заполнено корректно</v>
      </c>
      <c r="G8" t="str">
        <f t="shared" si="5"/>
        <v>М</v>
      </c>
      <c r="H8" t="str">
        <f t="shared" si="6"/>
        <v>Некорректный ввод</v>
      </c>
      <c r="I8" t="str">
        <f t="shared" si="7"/>
        <v>Заполнено корректно</v>
      </c>
      <c r="J8" t="str">
        <f t="shared" si="8"/>
        <v>Пользователь не зарегистрирован</v>
      </c>
    </row>
    <row r="9" spans="1:11" x14ac:dyDescent="0.25">
      <c r="A9" s="4">
        <v>8</v>
      </c>
      <c r="B9" t="str">
        <f t="shared" si="0"/>
        <v>Заполнено корректно</v>
      </c>
      <c r="C9" t="str">
        <f t="shared" si="1"/>
        <v>Заполнено корректно</v>
      </c>
      <c r="D9" t="str">
        <f t="shared" si="2"/>
        <v>Заполнено корректно</v>
      </c>
      <c r="E9" t="str">
        <f t="shared" si="3"/>
        <v>Заполнено корректно</v>
      </c>
      <c r="F9" s="2" t="str">
        <f t="shared" si="4"/>
        <v>Заполнено корректно</v>
      </c>
      <c r="G9" t="str">
        <f t="shared" si="5"/>
        <v>М</v>
      </c>
      <c r="H9" t="str">
        <f t="shared" si="6"/>
        <v>Некорректный ввод</v>
      </c>
      <c r="I9" t="str">
        <f t="shared" si="7"/>
        <v>Некорректный ввод</v>
      </c>
      <c r="J9" t="str">
        <f t="shared" si="8"/>
        <v>Пользователь не зарегистрирован</v>
      </c>
    </row>
    <row r="10" spans="1:11" x14ac:dyDescent="0.25">
      <c r="A10" s="1">
        <v>9</v>
      </c>
      <c r="B10" t="str">
        <f t="shared" si="0"/>
        <v>Заполнено корректно</v>
      </c>
      <c r="C10" t="str">
        <f t="shared" si="1"/>
        <v>Заполнено корректно</v>
      </c>
      <c r="D10" t="str">
        <f t="shared" si="2"/>
        <v>Заполнено корректно</v>
      </c>
      <c r="E10" t="str">
        <f t="shared" si="3"/>
        <v>Заполнено корректно</v>
      </c>
      <c r="F10" s="2" t="str">
        <f t="shared" si="4"/>
        <v>Заполнено корректно</v>
      </c>
      <c r="G10" t="str">
        <f t="shared" si="5"/>
        <v>М</v>
      </c>
      <c r="H10" t="str">
        <f t="shared" si="6"/>
        <v>Некорректный ввод</v>
      </c>
      <c r="I10" t="str">
        <f t="shared" si="7"/>
        <v>Пустой ввод</v>
      </c>
      <c r="J10" t="str">
        <f t="shared" si="8"/>
        <v>Пользователь не зарегистрирован</v>
      </c>
    </row>
    <row r="11" spans="1:11" x14ac:dyDescent="0.25">
      <c r="A11" s="1">
        <v>10</v>
      </c>
      <c r="B11" t="str">
        <f t="shared" si="0"/>
        <v>Заполнено корректно</v>
      </c>
      <c r="C11" t="str">
        <f t="shared" si="1"/>
        <v>Заполнено корректно</v>
      </c>
      <c r="D11" t="str">
        <f t="shared" si="2"/>
        <v>Заполнено корректно</v>
      </c>
      <c r="E11" t="str">
        <f t="shared" si="3"/>
        <v>Заполнено корректно</v>
      </c>
      <c r="F11" s="2" t="str">
        <f t="shared" si="4"/>
        <v>Заполнено корректно</v>
      </c>
      <c r="G11" t="str">
        <f t="shared" si="5"/>
        <v>Ж</v>
      </c>
      <c r="H11" t="str">
        <f t="shared" si="6"/>
        <v>Санкт-Петербург</v>
      </c>
      <c r="I11" t="str">
        <f t="shared" si="7"/>
        <v>Заполнено корректно</v>
      </c>
      <c r="J11" t="str">
        <f t="shared" si="8"/>
        <v>Регистрация пользователя</v>
      </c>
    </row>
    <row r="12" spans="1:11" x14ac:dyDescent="0.25">
      <c r="A12" s="1">
        <v>11</v>
      </c>
      <c r="B12" t="str">
        <f t="shared" si="0"/>
        <v>Заполнено корректно</v>
      </c>
      <c r="C12" t="str">
        <f t="shared" si="1"/>
        <v>Заполнено корректно</v>
      </c>
      <c r="D12" t="str">
        <f t="shared" si="2"/>
        <v>Заполнено корректно</v>
      </c>
      <c r="E12" t="str">
        <f t="shared" si="3"/>
        <v>Заполнено корректно</v>
      </c>
      <c r="F12" s="2" t="str">
        <f t="shared" si="4"/>
        <v>Заполнено корректно</v>
      </c>
      <c r="G12" t="str">
        <f t="shared" si="5"/>
        <v>Ж</v>
      </c>
      <c r="H12" t="str">
        <f t="shared" si="6"/>
        <v>Санкт-Петербург</v>
      </c>
      <c r="I12" t="str">
        <f t="shared" si="7"/>
        <v>Некорректный ввод</v>
      </c>
      <c r="J12" t="str">
        <f t="shared" si="8"/>
        <v>Пользователь не зарегистрирован</v>
      </c>
    </row>
    <row r="13" spans="1:11" x14ac:dyDescent="0.25">
      <c r="A13" s="4">
        <v>12</v>
      </c>
      <c r="B13" t="str">
        <f t="shared" si="0"/>
        <v>Заполнено корректно</v>
      </c>
      <c r="C13" t="str">
        <f t="shared" si="1"/>
        <v>Заполнено корректно</v>
      </c>
      <c r="D13" t="str">
        <f t="shared" si="2"/>
        <v>Заполнено корректно</v>
      </c>
      <c r="E13" t="str">
        <f t="shared" si="3"/>
        <v>Заполнено корректно</v>
      </c>
      <c r="F13" s="2" t="str">
        <f t="shared" si="4"/>
        <v>Заполнено корректно</v>
      </c>
      <c r="G13" t="str">
        <f t="shared" si="5"/>
        <v>Ж</v>
      </c>
      <c r="H13" t="str">
        <f t="shared" si="6"/>
        <v>Санкт-Петербург</v>
      </c>
      <c r="I13" t="str">
        <f t="shared" si="7"/>
        <v>Пустой ввод</v>
      </c>
      <c r="J13" t="str">
        <f t="shared" si="8"/>
        <v>Пользователь не зарегистрирован</v>
      </c>
    </row>
    <row r="14" spans="1:11" x14ac:dyDescent="0.25">
      <c r="A14" s="4">
        <v>13</v>
      </c>
      <c r="B14" t="str">
        <f t="shared" si="0"/>
        <v>Заполнено корректно</v>
      </c>
      <c r="C14" t="str">
        <f t="shared" si="1"/>
        <v>Заполнено корректно</v>
      </c>
      <c r="D14" t="str">
        <f t="shared" si="2"/>
        <v>Заполнено корректно</v>
      </c>
      <c r="E14" t="str">
        <f t="shared" si="3"/>
        <v>Заполнено корректно</v>
      </c>
      <c r="F14" s="2" t="str">
        <f t="shared" si="4"/>
        <v>Заполнено корректно</v>
      </c>
      <c r="G14" t="str">
        <f t="shared" si="5"/>
        <v>Ж</v>
      </c>
      <c r="H14" t="str">
        <f t="shared" si="6"/>
        <v>Другой город из списка</v>
      </c>
      <c r="I14" t="str">
        <f t="shared" si="7"/>
        <v>Заполнено корректно</v>
      </c>
      <c r="J14" t="str">
        <f t="shared" si="8"/>
        <v>Регистрация пользователя</v>
      </c>
    </row>
    <row r="15" spans="1:11" x14ac:dyDescent="0.25">
      <c r="A15" s="1">
        <v>14</v>
      </c>
      <c r="B15" t="str">
        <f t="shared" si="0"/>
        <v>Заполнено корректно</v>
      </c>
      <c r="C15" t="str">
        <f t="shared" si="1"/>
        <v>Заполнено корректно</v>
      </c>
      <c r="D15" t="str">
        <f t="shared" si="2"/>
        <v>Заполнено корректно</v>
      </c>
      <c r="E15" t="str">
        <f t="shared" si="3"/>
        <v>Заполнено корректно</v>
      </c>
      <c r="F15" s="2" t="str">
        <f t="shared" si="4"/>
        <v>Заполнено корректно</v>
      </c>
      <c r="G15" t="str">
        <f t="shared" si="5"/>
        <v>Ж</v>
      </c>
      <c r="H15" t="str">
        <f t="shared" si="6"/>
        <v>Другой город из списка</v>
      </c>
      <c r="I15" t="str">
        <f t="shared" si="7"/>
        <v>Некорректный ввод</v>
      </c>
      <c r="J15" t="str">
        <f t="shared" si="8"/>
        <v>Пользователь не зарегистрирован</v>
      </c>
    </row>
    <row r="16" spans="1:11" x14ac:dyDescent="0.25">
      <c r="A16" s="1">
        <v>15</v>
      </c>
      <c r="B16" t="str">
        <f t="shared" si="0"/>
        <v>Заполнено корректно</v>
      </c>
      <c r="C16" t="str">
        <f t="shared" si="1"/>
        <v>Заполнено корректно</v>
      </c>
      <c r="D16" t="str">
        <f t="shared" si="2"/>
        <v>Заполнено корректно</v>
      </c>
      <c r="E16" t="str">
        <f t="shared" si="3"/>
        <v>Заполнено корректно</v>
      </c>
      <c r="F16" s="2" t="str">
        <f t="shared" si="4"/>
        <v>Заполнено корректно</v>
      </c>
      <c r="G16" t="str">
        <f t="shared" si="5"/>
        <v>Ж</v>
      </c>
      <c r="H16" t="str">
        <f t="shared" si="6"/>
        <v>Другой город из списка</v>
      </c>
      <c r="I16" t="str">
        <f t="shared" si="7"/>
        <v>Пустой ввод</v>
      </c>
      <c r="J16" t="str">
        <f t="shared" si="8"/>
        <v>Пользователь не зарегистрирован</v>
      </c>
    </row>
    <row r="17" spans="1:10" x14ac:dyDescent="0.25">
      <c r="A17" s="1">
        <v>16</v>
      </c>
      <c r="B17" t="str">
        <f t="shared" si="0"/>
        <v>Заполнено корректно</v>
      </c>
      <c r="C17" t="str">
        <f t="shared" si="1"/>
        <v>Заполнено корректно</v>
      </c>
      <c r="D17" t="str">
        <f t="shared" si="2"/>
        <v>Заполнено корректно</v>
      </c>
      <c r="E17" t="str">
        <f t="shared" si="3"/>
        <v>Заполнено корректно</v>
      </c>
      <c r="F17" s="2" t="str">
        <f t="shared" si="4"/>
        <v>Заполнено корректно</v>
      </c>
      <c r="G17" t="str">
        <f t="shared" si="5"/>
        <v>Ж</v>
      </c>
      <c r="H17" t="str">
        <f t="shared" si="6"/>
        <v>Некорректный ввод</v>
      </c>
      <c r="I17" t="str">
        <f t="shared" si="7"/>
        <v>Заполнено корректно</v>
      </c>
      <c r="J17" t="str">
        <f t="shared" si="8"/>
        <v>Пользователь не зарегистрирован</v>
      </c>
    </row>
    <row r="18" spans="1:10" x14ac:dyDescent="0.25">
      <c r="A18" s="4">
        <v>17</v>
      </c>
      <c r="B18" t="str">
        <f t="shared" si="0"/>
        <v>Заполнено корректно</v>
      </c>
      <c r="C18" t="str">
        <f t="shared" si="1"/>
        <v>Заполнено корректно</v>
      </c>
      <c r="D18" t="str">
        <f t="shared" si="2"/>
        <v>Заполнено корректно</v>
      </c>
      <c r="E18" t="str">
        <f t="shared" si="3"/>
        <v>Заполнено корректно</v>
      </c>
      <c r="F18" s="2" t="str">
        <f t="shared" si="4"/>
        <v>Заполнено корректно</v>
      </c>
      <c r="G18" t="str">
        <f t="shared" si="5"/>
        <v>Ж</v>
      </c>
      <c r="H18" t="str">
        <f t="shared" si="6"/>
        <v>Некорректный ввод</v>
      </c>
      <c r="I18" t="str">
        <f t="shared" si="7"/>
        <v>Некорректный ввод</v>
      </c>
      <c r="J18" t="str">
        <f t="shared" si="8"/>
        <v>Пользователь не зарегистрирован</v>
      </c>
    </row>
    <row r="19" spans="1:10" x14ac:dyDescent="0.25">
      <c r="A19" s="4">
        <v>18</v>
      </c>
      <c r="B19" t="str">
        <f t="shared" si="0"/>
        <v>Заполнено корректно</v>
      </c>
      <c r="C19" t="str">
        <f t="shared" si="1"/>
        <v>Заполнено корректно</v>
      </c>
      <c r="D19" t="str">
        <f t="shared" si="2"/>
        <v>Заполнено корректно</v>
      </c>
      <c r="E19" t="str">
        <f t="shared" si="3"/>
        <v>Заполнено корректно</v>
      </c>
      <c r="F19" s="2" t="str">
        <f t="shared" si="4"/>
        <v>Заполнено корректно</v>
      </c>
      <c r="G19" t="str">
        <f t="shared" si="5"/>
        <v>Ж</v>
      </c>
      <c r="H19" t="str">
        <f t="shared" si="6"/>
        <v>Некорректный ввод</v>
      </c>
      <c r="I19" t="str">
        <f t="shared" si="7"/>
        <v>Пустой ввод</v>
      </c>
      <c r="J19" t="str">
        <f t="shared" si="8"/>
        <v>Пользователь не зарегистрирован</v>
      </c>
    </row>
    <row r="20" spans="1:10" x14ac:dyDescent="0.25">
      <c r="A20" s="1">
        <v>19</v>
      </c>
      <c r="B20" t="str">
        <f t="shared" si="0"/>
        <v>Заполнено корректно</v>
      </c>
      <c r="C20" t="str">
        <f t="shared" si="1"/>
        <v>Заполнено корректно</v>
      </c>
      <c r="D20" t="str">
        <f t="shared" si="2"/>
        <v>Заполнено корректно</v>
      </c>
      <c r="E20" t="str">
        <f t="shared" si="3"/>
        <v>Заполнено корректно</v>
      </c>
      <c r="F20" s="2" t="str">
        <f t="shared" si="4"/>
        <v>Заполнено корректно</v>
      </c>
      <c r="G20" t="str">
        <f t="shared" si="5"/>
        <v>Не выбрано</v>
      </c>
      <c r="H20" t="str">
        <f t="shared" si="6"/>
        <v>Санкт-Петербург</v>
      </c>
      <c r="I20" t="str">
        <f t="shared" si="7"/>
        <v>Заполнено корректно</v>
      </c>
      <c r="J20" t="str">
        <f t="shared" si="8"/>
        <v>Пользователь не зарегистрирован</v>
      </c>
    </row>
    <row r="21" spans="1:10" x14ac:dyDescent="0.25">
      <c r="A21" s="1">
        <v>20</v>
      </c>
      <c r="B21" t="str">
        <f t="shared" si="0"/>
        <v>Заполнено корректно</v>
      </c>
      <c r="C21" t="str">
        <f t="shared" si="1"/>
        <v>Заполнено корректно</v>
      </c>
      <c r="D21" t="str">
        <f t="shared" si="2"/>
        <v>Заполнено корректно</v>
      </c>
      <c r="E21" t="str">
        <f t="shared" si="3"/>
        <v>Заполнено корректно</v>
      </c>
      <c r="F21" s="2" t="str">
        <f t="shared" si="4"/>
        <v>Заполнено корректно</v>
      </c>
      <c r="G21" t="str">
        <f t="shared" si="5"/>
        <v>Не выбрано</v>
      </c>
      <c r="H21" t="str">
        <f t="shared" si="6"/>
        <v>Санкт-Петербург</v>
      </c>
      <c r="I21" t="str">
        <f t="shared" si="7"/>
        <v>Некорректный ввод</v>
      </c>
      <c r="J21" t="str">
        <f t="shared" si="8"/>
        <v>Пользователь не зарегистрирован</v>
      </c>
    </row>
    <row r="22" spans="1:10" x14ac:dyDescent="0.25">
      <c r="A22" s="1">
        <v>21</v>
      </c>
      <c r="B22" t="str">
        <f t="shared" si="0"/>
        <v>Заполнено корректно</v>
      </c>
      <c r="C22" t="str">
        <f t="shared" si="1"/>
        <v>Заполнено корректно</v>
      </c>
      <c r="D22" t="str">
        <f t="shared" si="2"/>
        <v>Заполнено корректно</v>
      </c>
      <c r="E22" t="str">
        <f t="shared" si="3"/>
        <v>Заполнено корректно</v>
      </c>
      <c r="F22" s="2" t="str">
        <f t="shared" si="4"/>
        <v>Заполнено корректно</v>
      </c>
      <c r="G22" t="str">
        <f t="shared" si="5"/>
        <v>Не выбрано</v>
      </c>
      <c r="H22" t="str">
        <f t="shared" si="6"/>
        <v>Санкт-Петербург</v>
      </c>
      <c r="I22" t="str">
        <f t="shared" si="7"/>
        <v>Пустой ввод</v>
      </c>
      <c r="J22" t="str">
        <f t="shared" si="8"/>
        <v>Пользователь не зарегистрирован</v>
      </c>
    </row>
    <row r="23" spans="1:10" x14ac:dyDescent="0.25">
      <c r="A23" s="4">
        <v>22</v>
      </c>
      <c r="B23" t="str">
        <f t="shared" si="0"/>
        <v>Заполнено корректно</v>
      </c>
      <c r="C23" t="str">
        <f t="shared" si="1"/>
        <v>Заполнено корректно</v>
      </c>
      <c r="D23" t="str">
        <f t="shared" si="2"/>
        <v>Заполнено корректно</v>
      </c>
      <c r="E23" t="str">
        <f t="shared" si="3"/>
        <v>Заполнено корректно</v>
      </c>
      <c r="F23" s="2" t="str">
        <f t="shared" si="4"/>
        <v>Заполнено корректно</v>
      </c>
      <c r="G23" t="str">
        <f t="shared" si="5"/>
        <v>Не выбрано</v>
      </c>
      <c r="H23" t="str">
        <f t="shared" si="6"/>
        <v>Другой город из списка</v>
      </c>
      <c r="I23" t="str">
        <f t="shared" si="7"/>
        <v>Заполнено корректно</v>
      </c>
      <c r="J23" t="str">
        <f t="shared" si="8"/>
        <v>Пользователь не зарегистрирован</v>
      </c>
    </row>
    <row r="24" spans="1:10" x14ac:dyDescent="0.25">
      <c r="A24" s="4">
        <v>23</v>
      </c>
      <c r="B24" t="str">
        <f t="shared" si="0"/>
        <v>Заполнено корректно</v>
      </c>
      <c r="C24" t="str">
        <f t="shared" si="1"/>
        <v>Заполнено корректно</v>
      </c>
      <c r="D24" t="str">
        <f t="shared" si="2"/>
        <v>Заполнено корректно</v>
      </c>
      <c r="E24" t="str">
        <f t="shared" si="3"/>
        <v>Заполнено корректно</v>
      </c>
      <c r="F24" s="2" t="str">
        <f t="shared" si="4"/>
        <v>Заполнено корректно</v>
      </c>
      <c r="G24" t="str">
        <f t="shared" si="5"/>
        <v>Не выбрано</v>
      </c>
      <c r="H24" t="str">
        <f t="shared" si="6"/>
        <v>Другой город из списка</v>
      </c>
      <c r="I24" t="str">
        <f t="shared" si="7"/>
        <v>Некорректный ввод</v>
      </c>
      <c r="J24" t="str">
        <f t="shared" si="8"/>
        <v>Пользователь не зарегистрирован</v>
      </c>
    </row>
    <row r="25" spans="1:10" x14ac:dyDescent="0.25">
      <c r="A25" s="1">
        <v>24</v>
      </c>
      <c r="B25" t="str">
        <f t="shared" si="0"/>
        <v>Заполнено корректно</v>
      </c>
      <c r="C25" t="str">
        <f t="shared" si="1"/>
        <v>Заполнено корректно</v>
      </c>
      <c r="D25" t="str">
        <f t="shared" si="2"/>
        <v>Заполнено корректно</v>
      </c>
      <c r="E25" t="str">
        <f t="shared" si="3"/>
        <v>Заполнено корректно</v>
      </c>
      <c r="F25" s="2" t="str">
        <f t="shared" si="4"/>
        <v>Заполнено корректно</v>
      </c>
      <c r="G25" t="str">
        <f t="shared" si="5"/>
        <v>Не выбрано</v>
      </c>
      <c r="H25" t="str">
        <f t="shared" si="6"/>
        <v>Другой город из списка</v>
      </c>
      <c r="I25" t="str">
        <f t="shared" si="7"/>
        <v>Пустой ввод</v>
      </c>
      <c r="J25" t="str">
        <f t="shared" si="8"/>
        <v>Пользователь не зарегистрирован</v>
      </c>
    </row>
    <row r="26" spans="1:10" x14ac:dyDescent="0.25">
      <c r="A26" s="1">
        <v>25</v>
      </c>
      <c r="B26" t="str">
        <f t="shared" si="0"/>
        <v>Заполнено корректно</v>
      </c>
      <c r="C26" t="str">
        <f t="shared" si="1"/>
        <v>Заполнено корректно</v>
      </c>
      <c r="D26" t="str">
        <f t="shared" si="2"/>
        <v>Заполнено корректно</v>
      </c>
      <c r="E26" t="str">
        <f t="shared" si="3"/>
        <v>Заполнено корректно</v>
      </c>
      <c r="F26" s="2" t="str">
        <f t="shared" si="4"/>
        <v>Заполнено корректно</v>
      </c>
      <c r="G26" t="str">
        <f t="shared" si="5"/>
        <v>Не выбрано</v>
      </c>
      <c r="H26" t="str">
        <f t="shared" si="6"/>
        <v>Некорректный ввод</v>
      </c>
      <c r="I26" t="str">
        <f t="shared" si="7"/>
        <v>Заполнено корректно</v>
      </c>
      <c r="J26" t="str">
        <f t="shared" si="8"/>
        <v>Пользователь не зарегистрирован</v>
      </c>
    </row>
    <row r="27" spans="1:10" x14ac:dyDescent="0.25">
      <c r="A27" s="1">
        <v>26</v>
      </c>
      <c r="B27" t="str">
        <f t="shared" si="0"/>
        <v>Заполнено корректно</v>
      </c>
      <c r="C27" t="str">
        <f t="shared" si="1"/>
        <v>Заполнено корректно</v>
      </c>
      <c r="D27" t="str">
        <f t="shared" si="2"/>
        <v>Заполнено корректно</v>
      </c>
      <c r="E27" t="str">
        <f t="shared" si="3"/>
        <v>Заполнено корректно</v>
      </c>
      <c r="F27" s="2" t="str">
        <f t="shared" si="4"/>
        <v>Заполнено корректно</v>
      </c>
      <c r="G27" t="str">
        <f t="shared" si="5"/>
        <v>Не выбрано</v>
      </c>
      <c r="H27" t="str">
        <f t="shared" si="6"/>
        <v>Некорректный ввод</v>
      </c>
      <c r="I27" t="str">
        <f t="shared" si="7"/>
        <v>Некорректный ввод</v>
      </c>
      <c r="J27" t="str">
        <f t="shared" si="8"/>
        <v>Пользователь не зарегистрирован</v>
      </c>
    </row>
    <row r="28" spans="1:10" x14ac:dyDescent="0.25">
      <c r="A28" s="4">
        <v>27</v>
      </c>
      <c r="B28" t="str">
        <f t="shared" si="0"/>
        <v>Заполнено корректно</v>
      </c>
      <c r="C28" t="str">
        <f t="shared" si="1"/>
        <v>Заполнено корректно</v>
      </c>
      <c r="D28" t="str">
        <f t="shared" si="2"/>
        <v>Заполнено корректно</v>
      </c>
      <c r="E28" t="str">
        <f t="shared" si="3"/>
        <v>Заполнено корректно</v>
      </c>
      <c r="F28" s="2" t="str">
        <f t="shared" si="4"/>
        <v>Заполнено корректно</v>
      </c>
      <c r="G28" t="str">
        <f t="shared" si="5"/>
        <v>Не выбрано</v>
      </c>
      <c r="H28" t="str">
        <f t="shared" si="6"/>
        <v>Некорректный ввод</v>
      </c>
      <c r="I28" t="str">
        <f t="shared" si="7"/>
        <v>Пустой ввод</v>
      </c>
      <c r="J28" t="str">
        <f t="shared" si="8"/>
        <v>Пользователь не зарегистрирован</v>
      </c>
    </row>
    <row r="29" spans="1:10" x14ac:dyDescent="0.25">
      <c r="A29" s="4">
        <v>28</v>
      </c>
      <c r="B29" t="str">
        <f t="shared" si="0"/>
        <v>Заполнено корректно</v>
      </c>
      <c r="C29" t="str">
        <f t="shared" si="1"/>
        <v>Заполнено корректно</v>
      </c>
      <c r="D29" t="str">
        <f t="shared" si="2"/>
        <v>Заполнено корректно</v>
      </c>
      <c r="E29" t="str">
        <f t="shared" si="3"/>
        <v>Заполнено корректно</v>
      </c>
      <c r="F29" s="2" t="str">
        <f t="shared" si="4"/>
        <v>Некорректный ввод</v>
      </c>
      <c r="G29" t="str">
        <f t="shared" si="5"/>
        <v>М</v>
      </c>
      <c r="H29" t="str">
        <f t="shared" si="6"/>
        <v>Санкт-Петербург</v>
      </c>
      <c r="I29" t="str">
        <f t="shared" si="7"/>
        <v>Заполнено корректно</v>
      </c>
      <c r="J29" t="str">
        <f t="shared" si="8"/>
        <v>Пользователь не зарегистрирован</v>
      </c>
    </row>
    <row r="30" spans="1:10" x14ac:dyDescent="0.25">
      <c r="A30" s="1">
        <v>29</v>
      </c>
      <c r="B30" t="str">
        <f t="shared" si="0"/>
        <v>Заполнено корректно</v>
      </c>
      <c r="C30" t="str">
        <f t="shared" si="1"/>
        <v>Заполнено корректно</v>
      </c>
      <c r="D30" t="str">
        <f t="shared" si="2"/>
        <v>Заполнено корректно</v>
      </c>
      <c r="E30" t="str">
        <f t="shared" si="3"/>
        <v>Заполнено корректно</v>
      </c>
      <c r="F30" s="2" t="str">
        <f t="shared" si="4"/>
        <v>Некорректный ввод</v>
      </c>
      <c r="G30" t="str">
        <f t="shared" si="5"/>
        <v>М</v>
      </c>
      <c r="H30" t="str">
        <f t="shared" si="6"/>
        <v>Санкт-Петербург</v>
      </c>
      <c r="I30" t="str">
        <f t="shared" si="7"/>
        <v>Некорректный ввод</v>
      </c>
      <c r="J30" t="str">
        <f t="shared" si="8"/>
        <v>Пользователь не зарегистрирован</v>
      </c>
    </row>
    <row r="31" spans="1:10" x14ac:dyDescent="0.25">
      <c r="A31" s="1">
        <v>30</v>
      </c>
      <c r="B31" t="str">
        <f t="shared" si="0"/>
        <v>Заполнено корректно</v>
      </c>
      <c r="C31" t="str">
        <f t="shared" si="1"/>
        <v>Заполнено корректно</v>
      </c>
      <c r="D31" t="str">
        <f t="shared" si="2"/>
        <v>Заполнено корректно</v>
      </c>
      <c r="E31" t="str">
        <f t="shared" si="3"/>
        <v>Заполнено корректно</v>
      </c>
      <c r="F31" s="2" t="str">
        <f t="shared" si="4"/>
        <v>Некорректный ввод</v>
      </c>
      <c r="G31" t="str">
        <f t="shared" si="5"/>
        <v>М</v>
      </c>
      <c r="H31" t="str">
        <f t="shared" si="6"/>
        <v>Санкт-Петербург</v>
      </c>
      <c r="I31" t="str">
        <f t="shared" si="7"/>
        <v>Пустой ввод</v>
      </c>
      <c r="J31" t="str">
        <f t="shared" si="8"/>
        <v>Пользователь не зарегистрирован</v>
      </c>
    </row>
    <row r="32" spans="1:10" x14ac:dyDescent="0.25">
      <c r="A32" s="1">
        <v>31</v>
      </c>
      <c r="B32" t="str">
        <f t="shared" si="0"/>
        <v>Заполнено корректно</v>
      </c>
      <c r="C32" t="str">
        <f t="shared" si="1"/>
        <v>Заполнено корректно</v>
      </c>
      <c r="D32" t="str">
        <f t="shared" si="2"/>
        <v>Заполнено корректно</v>
      </c>
      <c r="E32" t="str">
        <f t="shared" si="3"/>
        <v>Заполнено корректно</v>
      </c>
      <c r="F32" s="2" t="str">
        <f t="shared" si="4"/>
        <v>Некорректный ввод</v>
      </c>
      <c r="G32" t="str">
        <f t="shared" si="5"/>
        <v>М</v>
      </c>
      <c r="H32" t="str">
        <f t="shared" si="6"/>
        <v>Другой город из списка</v>
      </c>
      <c r="I32" t="str">
        <f t="shared" si="7"/>
        <v>Заполнено корректно</v>
      </c>
      <c r="J32" t="str">
        <f t="shared" si="8"/>
        <v>Пользователь не зарегистрирован</v>
      </c>
    </row>
    <row r="33" spans="1:10" x14ac:dyDescent="0.25">
      <c r="A33" s="4">
        <v>32</v>
      </c>
      <c r="B33" t="str">
        <f t="shared" si="0"/>
        <v>Заполнено корректно</v>
      </c>
      <c r="C33" t="str">
        <f t="shared" si="1"/>
        <v>Заполнено корректно</v>
      </c>
      <c r="D33" t="str">
        <f t="shared" si="2"/>
        <v>Заполнено корректно</v>
      </c>
      <c r="E33" t="str">
        <f t="shared" si="3"/>
        <v>Заполнено корректно</v>
      </c>
      <c r="F33" s="2" t="str">
        <f t="shared" si="4"/>
        <v>Некорректный ввод</v>
      </c>
      <c r="G33" t="str">
        <f t="shared" si="5"/>
        <v>М</v>
      </c>
      <c r="H33" t="str">
        <f t="shared" si="6"/>
        <v>Другой город из списка</v>
      </c>
      <c r="I33" t="str">
        <f t="shared" si="7"/>
        <v>Некорректный ввод</v>
      </c>
      <c r="J33" t="str">
        <f t="shared" si="8"/>
        <v>Пользователь не зарегистрирован</v>
      </c>
    </row>
    <row r="34" spans="1:10" x14ac:dyDescent="0.25">
      <c r="A34" s="4">
        <v>33</v>
      </c>
      <c r="B34" t="str">
        <f t="shared" si="0"/>
        <v>Заполнено корректно</v>
      </c>
      <c r="C34" t="str">
        <f t="shared" si="1"/>
        <v>Заполнено корректно</v>
      </c>
      <c r="D34" t="str">
        <f t="shared" si="2"/>
        <v>Заполнено корректно</v>
      </c>
      <c r="E34" t="str">
        <f t="shared" si="3"/>
        <v>Заполнено корректно</v>
      </c>
      <c r="F34" s="2" t="str">
        <f t="shared" si="4"/>
        <v>Некорректный ввод</v>
      </c>
      <c r="G34" t="str">
        <f t="shared" si="5"/>
        <v>М</v>
      </c>
      <c r="H34" t="str">
        <f t="shared" si="6"/>
        <v>Другой город из списка</v>
      </c>
      <c r="I34" t="str">
        <f t="shared" si="7"/>
        <v>Пустой ввод</v>
      </c>
      <c r="J34" t="str">
        <f t="shared" si="8"/>
        <v>Пользователь не зарегистрирован</v>
      </c>
    </row>
    <row r="35" spans="1:10" x14ac:dyDescent="0.25">
      <c r="A35" s="1">
        <v>34</v>
      </c>
      <c r="B35" t="str">
        <f t="shared" si="0"/>
        <v>Заполнено корректно</v>
      </c>
      <c r="C35" t="str">
        <f t="shared" si="1"/>
        <v>Заполнено корректно</v>
      </c>
      <c r="D35" t="str">
        <f t="shared" si="2"/>
        <v>Заполнено корректно</v>
      </c>
      <c r="E35" t="str">
        <f t="shared" si="3"/>
        <v>Заполнено корректно</v>
      </c>
      <c r="F35" s="2" t="str">
        <f t="shared" si="4"/>
        <v>Некорректный ввод</v>
      </c>
      <c r="G35" t="str">
        <f t="shared" si="5"/>
        <v>М</v>
      </c>
      <c r="H35" t="str">
        <f t="shared" si="6"/>
        <v>Некорректный ввод</v>
      </c>
      <c r="I35" t="str">
        <f t="shared" si="7"/>
        <v>Заполнено корректно</v>
      </c>
      <c r="J35" t="str">
        <f t="shared" si="8"/>
        <v>Пользователь не зарегистрирован</v>
      </c>
    </row>
    <row r="36" spans="1:10" x14ac:dyDescent="0.25">
      <c r="A36" s="1">
        <v>35</v>
      </c>
      <c r="B36" t="str">
        <f t="shared" si="0"/>
        <v>Заполнено корректно</v>
      </c>
      <c r="C36" t="str">
        <f t="shared" si="1"/>
        <v>Заполнено корректно</v>
      </c>
      <c r="D36" t="str">
        <f t="shared" si="2"/>
        <v>Заполнено корректно</v>
      </c>
      <c r="E36" t="str">
        <f t="shared" si="3"/>
        <v>Заполнено корректно</v>
      </c>
      <c r="F36" s="2" t="str">
        <f t="shared" si="4"/>
        <v>Некорректный ввод</v>
      </c>
      <c r="G36" t="str">
        <f t="shared" si="5"/>
        <v>М</v>
      </c>
      <c r="H36" t="str">
        <f t="shared" si="6"/>
        <v>Некорректный ввод</v>
      </c>
      <c r="I36" t="str">
        <f t="shared" si="7"/>
        <v>Некорректный ввод</v>
      </c>
      <c r="J36" t="str">
        <f t="shared" si="8"/>
        <v>Пользователь не зарегистрирован</v>
      </c>
    </row>
    <row r="37" spans="1:10" x14ac:dyDescent="0.25">
      <c r="A37" s="1">
        <v>36</v>
      </c>
      <c r="B37" t="str">
        <f t="shared" si="0"/>
        <v>Заполнено корректно</v>
      </c>
      <c r="C37" t="str">
        <f t="shared" si="1"/>
        <v>Заполнено корректно</v>
      </c>
      <c r="D37" t="str">
        <f t="shared" si="2"/>
        <v>Заполнено корректно</v>
      </c>
      <c r="E37" t="str">
        <f t="shared" si="3"/>
        <v>Заполнено корректно</v>
      </c>
      <c r="F37" s="2" t="str">
        <f t="shared" si="4"/>
        <v>Некорректный ввод</v>
      </c>
      <c r="G37" t="str">
        <f t="shared" si="5"/>
        <v>М</v>
      </c>
      <c r="H37" t="str">
        <f t="shared" si="6"/>
        <v>Некорректный ввод</v>
      </c>
      <c r="I37" t="str">
        <f t="shared" si="7"/>
        <v>Пустой ввод</v>
      </c>
      <c r="J37" t="str">
        <f t="shared" si="8"/>
        <v>Пользователь не зарегистрирован</v>
      </c>
    </row>
    <row r="38" spans="1:10" x14ac:dyDescent="0.25">
      <c r="A38" s="4">
        <v>37</v>
      </c>
      <c r="B38" t="str">
        <f t="shared" si="0"/>
        <v>Заполнено корректно</v>
      </c>
      <c r="C38" t="str">
        <f t="shared" si="1"/>
        <v>Заполнено корректно</v>
      </c>
      <c r="D38" t="str">
        <f t="shared" si="2"/>
        <v>Заполнено корректно</v>
      </c>
      <c r="E38" t="str">
        <f t="shared" si="3"/>
        <v>Заполнено корректно</v>
      </c>
      <c r="F38" s="2" t="str">
        <f t="shared" si="4"/>
        <v>Некорректный ввод</v>
      </c>
      <c r="G38" t="str">
        <f t="shared" si="5"/>
        <v>Ж</v>
      </c>
      <c r="H38" t="str">
        <f t="shared" si="6"/>
        <v>Санкт-Петербург</v>
      </c>
      <c r="I38" t="str">
        <f t="shared" si="7"/>
        <v>Заполнено корректно</v>
      </c>
      <c r="J38" t="str">
        <f t="shared" si="8"/>
        <v>Пользователь не зарегистрирован</v>
      </c>
    </row>
    <row r="39" spans="1:10" x14ac:dyDescent="0.25">
      <c r="A39" s="4">
        <v>38</v>
      </c>
      <c r="B39" t="str">
        <f t="shared" si="0"/>
        <v>Заполнено корректно</v>
      </c>
      <c r="C39" t="str">
        <f t="shared" si="1"/>
        <v>Заполнено корректно</v>
      </c>
      <c r="D39" t="str">
        <f t="shared" si="2"/>
        <v>Заполнено корректно</v>
      </c>
      <c r="E39" t="str">
        <f t="shared" si="3"/>
        <v>Заполнено корректно</v>
      </c>
      <c r="F39" s="2" t="str">
        <f t="shared" si="4"/>
        <v>Некорректный ввод</v>
      </c>
      <c r="G39" t="str">
        <f t="shared" si="5"/>
        <v>Ж</v>
      </c>
      <c r="H39" t="str">
        <f t="shared" si="6"/>
        <v>Санкт-Петербург</v>
      </c>
      <c r="I39" t="str">
        <f t="shared" si="7"/>
        <v>Некорректный ввод</v>
      </c>
      <c r="J39" t="str">
        <f t="shared" si="8"/>
        <v>Пользователь не зарегистрирован</v>
      </c>
    </row>
    <row r="40" spans="1:10" x14ac:dyDescent="0.25">
      <c r="A40" s="1">
        <v>39</v>
      </c>
      <c r="B40" t="str">
        <f t="shared" si="0"/>
        <v>Заполнено корректно</v>
      </c>
      <c r="C40" t="str">
        <f t="shared" si="1"/>
        <v>Заполнено корректно</v>
      </c>
      <c r="D40" t="str">
        <f t="shared" si="2"/>
        <v>Заполнено корректно</v>
      </c>
      <c r="E40" t="str">
        <f t="shared" si="3"/>
        <v>Заполнено корректно</v>
      </c>
      <c r="F40" s="2" t="str">
        <f t="shared" si="4"/>
        <v>Некорректный ввод</v>
      </c>
      <c r="G40" t="str">
        <f t="shared" si="5"/>
        <v>Ж</v>
      </c>
      <c r="H40" t="str">
        <f t="shared" si="6"/>
        <v>Санкт-Петербург</v>
      </c>
      <c r="I40" t="str">
        <f t="shared" si="7"/>
        <v>Пустой ввод</v>
      </c>
      <c r="J40" t="str">
        <f t="shared" si="8"/>
        <v>Пользователь не зарегистрирован</v>
      </c>
    </row>
    <row r="41" spans="1:10" x14ac:dyDescent="0.25">
      <c r="A41" s="1">
        <v>40</v>
      </c>
      <c r="B41" t="str">
        <f t="shared" si="0"/>
        <v>Заполнено корректно</v>
      </c>
      <c r="C41" t="str">
        <f t="shared" si="1"/>
        <v>Заполнено корректно</v>
      </c>
      <c r="D41" t="str">
        <f t="shared" si="2"/>
        <v>Заполнено корректно</v>
      </c>
      <c r="E41" t="str">
        <f t="shared" si="3"/>
        <v>Заполнено корректно</v>
      </c>
      <c r="F41" s="2" t="str">
        <f t="shared" si="4"/>
        <v>Некорректный ввод</v>
      </c>
      <c r="G41" t="str">
        <f t="shared" si="5"/>
        <v>Ж</v>
      </c>
      <c r="H41" t="str">
        <f t="shared" si="6"/>
        <v>Другой город из списка</v>
      </c>
      <c r="I41" t="str">
        <f t="shared" si="7"/>
        <v>Заполнено корректно</v>
      </c>
      <c r="J41" t="str">
        <f t="shared" si="8"/>
        <v>Пользователь не зарегистрирован</v>
      </c>
    </row>
    <row r="42" spans="1:10" x14ac:dyDescent="0.25">
      <c r="A42" s="1">
        <v>41</v>
      </c>
      <c r="B42" t="str">
        <f t="shared" si="0"/>
        <v>Заполнено корректно</v>
      </c>
      <c r="C42" t="str">
        <f t="shared" si="1"/>
        <v>Заполнено корректно</v>
      </c>
      <c r="D42" t="str">
        <f t="shared" si="2"/>
        <v>Заполнено корректно</v>
      </c>
      <c r="E42" t="str">
        <f t="shared" si="3"/>
        <v>Заполнено корректно</v>
      </c>
      <c r="F42" s="2" t="str">
        <f t="shared" si="4"/>
        <v>Некорректный ввод</v>
      </c>
      <c r="G42" t="str">
        <f t="shared" si="5"/>
        <v>Ж</v>
      </c>
      <c r="H42" t="str">
        <f t="shared" si="6"/>
        <v>Другой город из списка</v>
      </c>
      <c r="I42" t="str">
        <f t="shared" si="7"/>
        <v>Некорректный ввод</v>
      </c>
      <c r="J42" t="str">
        <f t="shared" si="8"/>
        <v>Пользователь не зарегистрирован</v>
      </c>
    </row>
    <row r="43" spans="1:10" x14ac:dyDescent="0.25">
      <c r="A43" s="4">
        <v>42</v>
      </c>
      <c r="B43" t="str">
        <f t="shared" si="0"/>
        <v>Заполнено корректно</v>
      </c>
      <c r="C43" t="str">
        <f t="shared" si="1"/>
        <v>Заполнено корректно</v>
      </c>
      <c r="D43" t="str">
        <f t="shared" si="2"/>
        <v>Заполнено корректно</v>
      </c>
      <c r="E43" t="str">
        <f t="shared" si="3"/>
        <v>Заполнено корректно</v>
      </c>
      <c r="F43" s="2" t="str">
        <f t="shared" si="4"/>
        <v>Некорректный ввод</v>
      </c>
      <c r="G43" t="str">
        <f t="shared" si="5"/>
        <v>Ж</v>
      </c>
      <c r="H43" t="str">
        <f t="shared" si="6"/>
        <v>Другой город из списка</v>
      </c>
      <c r="I43" t="str">
        <f t="shared" si="7"/>
        <v>Пустой ввод</v>
      </c>
      <c r="J43" t="str">
        <f t="shared" si="8"/>
        <v>Пользователь не зарегистрирован</v>
      </c>
    </row>
    <row r="44" spans="1:10" x14ac:dyDescent="0.25">
      <c r="A44" s="4">
        <v>43</v>
      </c>
      <c r="B44" t="str">
        <f t="shared" si="0"/>
        <v>Заполнено корректно</v>
      </c>
      <c r="C44" t="str">
        <f t="shared" si="1"/>
        <v>Заполнено корректно</v>
      </c>
      <c r="D44" t="str">
        <f t="shared" si="2"/>
        <v>Заполнено корректно</v>
      </c>
      <c r="E44" t="str">
        <f t="shared" si="3"/>
        <v>Заполнено корректно</v>
      </c>
      <c r="F44" s="2" t="str">
        <f t="shared" si="4"/>
        <v>Некорректный ввод</v>
      </c>
      <c r="G44" t="str">
        <f t="shared" si="5"/>
        <v>Ж</v>
      </c>
      <c r="H44" t="str">
        <f t="shared" si="6"/>
        <v>Некорректный ввод</v>
      </c>
      <c r="I44" t="str">
        <f t="shared" si="7"/>
        <v>Заполнено корректно</v>
      </c>
      <c r="J44" t="str">
        <f t="shared" si="8"/>
        <v>Пользователь не зарегистрирован</v>
      </c>
    </row>
    <row r="45" spans="1:10" x14ac:dyDescent="0.25">
      <c r="A45" s="1">
        <v>44</v>
      </c>
      <c r="B45" t="str">
        <f t="shared" si="0"/>
        <v>Заполнено корректно</v>
      </c>
      <c r="C45" t="str">
        <f t="shared" si="1"/>
        <v>Заполнено корректно</v>
      </c>
      <c r="D45" t="str">
        <f t="shared" si="2"/>
        <v>Заполнено корректно</v>
      </c>
      <c r="E45" t="str">
        <f t="shared" si="3"/>
        <v>Заполнено корректно</v>
      </c>
      <c r="F45" s="2" t="str">
        <f t="shared" si="4"/>
        <v>Некорректный ввод</v>
      </c>
      <c r="G45" t="str">
        <f t="shared" si="5"/>
        <v>Ж</v>
      </c>
      <c r="H45" t="str">
        <f t="shared" si="6"/>
        <v>Некорректный ввод</v>
      </c>
      <c r="I45" t="str">
        <f t="shared" si="7"/>
        <v>Некорректный ввод</v>
      </c>
      <c r="J45" t="str">
        <f t="shared" si="8"/>
        <v>Пользователь не зарегистрирован</v>
      </c>
    </row>
    <row r="46" spans="1:10" x14ac:dyDescent="0.25">
      <c r="A46" s="1">
        <v>45</v>
      </c>
      <c r="B46" t="str">
        <f t="shared" si="0"/>
        <v>Заполнено корректно</v>
      </c>
      <c r="C46" t="str">
        <f t="shared" si="1"/>
        <v>Заполнено корректно</v>
      </c>
      <c r="D46" t="str">
        <f t="shared" si="2"/>
        <v>Заполнено корректно</v>
      </c>
      <c r="E46" t="str">
        <f t="shared" si="3"/>
        <v>Заполнено корректно</v>
      </c>
      <c r="F46" s="2" t="str">
        <f t="shared" si="4"/>
        <v>Некорректный ввод</v>
      </c>
      <c r="G46" t="str">
        <f t="shared" si="5"/>
        <v>Ж</v>
      </c>
      <c r="H46" t="str">
        <f t="shared" si="6"/>
        <v>Некорректный ввод</v>
      </c>
      <c r="I46" t="str">
        <f t="shared" si="7"/>
        <v>Пустой ввод</v>
      </c>
      <c r="J46" t="str">
        <f t="shared" si="8"/>
        <v>Пользователь не зарегистрирован</v>
      </c>
    </row>
    <row r="47" spans="1:10" x14ac:dyDescent="0.25">
      <c r="A47" s="1">
        <v>46</v>
      </c>
      <c r="B47" t="str">
        <f t="shared" si="0"/>
        <v>Заполнено корректно</v>
      </c>
      <c r="C47" t="str">
        <f t="shared" si="1"/>
        <v>Заполнено корректно</v>
      </c>
      <c r="D47" t="str">
        <f t="shared" si="2"/>
        <v>Заполнено корректно</v>
      </c>
      <c r="E47" t="str">
        <f t="shared" si="3"/>
        <v>Заполнено корректно</v>
      </c>
      <c r="F47" s="2" t="str">
        <f t="shared" si="4"/>
        <v>Некорректный ввод</v>
      </c>
      <c r="G47" t="str">
        <f t="shared" si="5"/>
        <v>Не выбрано</v>
      </c>
      <c r="H47" t="str">
        <f t="shared" si="6"/>
        <v>Санкт-Петербург</v>
      </c>
      <c r="I47" t="str">
        <f t="shared" si="7"/>
        <v>Заполнено корректно</v>
      </c>
      <c r="J47" t="str">
        <f t="shared" si="8"/>
        <v>Пользователь не зарегистрирован</v>
      </c>
    </row>
    <row r="48" spans="1:10" x14ac:dyDescent="0.25">
      <c r="A48" s="4">
        <v>47</v>
      </c>
      <c r="B48" t="str">
        <f t="shared" si="0"/>
        <v>Заполнено корректно</v>
      </c>
      <c r="C48" t="str">
        <f t="shared" si="1"/>
        <v>Заполнено корректно</v>
      </c>
      <c r="D48" t="str">
        <f t="shared" si="2"/>
        <v>Заполнено корректно</v>
      </c>
      <c r="E48" t="str">
        <f t="shared" si="3"/>
        <v>Заполнено корректно</v>
      </c>
      <c r="F48" s="2" t="str">
        <f t="shared" si="4"/>
        <v>Некорректный ввод</v>
      </c>
      <c r="G48" t="str">
        <f t="shared" si="5"/>
        <v>Не выбрано</v>
      </c>
      <c r="H48" t="str">
        <f t="shared" si="6"/>
        <v>Санкт-Петербург</v>
      </c>
      <c r="I48" t="str">
        <f t="shared" si="7"/>
        <v>Некорректный ввод</v>
      </c>
      <c r="J48" t="str">
        <f t="shared" si="8"/>
        <v>Пользователь не зарегистрирован</v>
      </c>
    </row>
    <row r="49" spans="1:10" x14ac:dyDescent="0.25">
      <c r="A49" s="4">
        <v>48</v>
      </c>
      <c r="B49" t="str">
        <f t="shared" si="0"/>
        <v>Заполнено корректно</v>
      </c>
      <c r="C49" t="str">
        <f t="shared" si="1"/>
        <v>Заполнено корректно</v>
      </c>
      <c r="D49" t="str">
        <f t="shared" si="2"/>
        <v>Заполнено корректно</v>
      </c>
      <c r="E49" t="str">
        <f t="shared" si="3"/>
        <v>Заполнено корректно</v>
      </c>
      <c r="F49" s="2" t="str">
        <f t="shared" si="4"/>
        <v>Некорректный ввод</v>
      </c>
      <c r="G49" t="str">
        <f t="shared" si="5"/>
        <v>Не выбрано</v>
      </c>
      <c r="H49" t="str">
        <f t="shared" si="6"/>
        <v>Санкт-Петербург</v>
      </c>
      <c r="I49" t="str">
        <f t="shared" si="7"/>
        <v>Пустой ввод</v>
      </c>
      <c r="J49" t="str">
        <f t="shared" si="8"/>
        <v>Пользователь не зарегистрирован</v>
      </c>
    </row>
    <row r="50" spans="1:10" x14ac:dyDescent="0.25">
      <c r="A50" s="1">
        <v>49</v>
      </c>
      <c r="B50" t="str">
        <f t="shared" si="0"/>
        <v>Заполнено корректно</v>
      </c>
      <c r="C50" t="str">
        <f t="shared" si="1"/>
        <v>Заполнено корректно</v>
      </c>
      <c r="D50" t="str">
        <f t="shared" si="2"/>
        <v>Заполнено корректно</v>
      </c>
      <c r="E50" t="str">
        <f t="shared" si="3"/>
        <v>Заполнено корректно</v>
      </c>
      <c r="F50" s="2" t="str">
        <f t="shared" si="4"/>
        <v>Некорректный ввод</v>
      </c>
      <c r="G50" t="str">
        <f t="shared" si="5"/>
        <v>Не выбрано</v>
      </c>
      <c r="H50" t="str">
        <f t="shared" si="6"/>
        <v>Другой город из списка</v>
      </c>
      <c r="I50" t="str">
        <f t="shared" si="7"/>
        <v>Заполнено корректно</v>
      </c>
      <c r="J50" t="str">
        <f t="shared" si="8"/>
        <v>Пользователь не зарегистрирован</v>
      </c>
    </row>
    <row r="51" spans="1:10" x14ac:dyDescent="0.25">
      <c r="A51" s="1">
        <v>50</v>
      </c>
      <c r="B51" t="str">
        <f t="shared" si="0"/>
        <v>Заполнено корректно</v>
      </c>
      <c r="C51" t="str">
        <f t="shared" si="1"/>
        <v>Заполнено корректно</v>
      </c>
      <c r="D51" t="str">
        <f t="shared" si="2"/>
        <v>Заполнено корректно</v>
      </c>
      <c r="E51" t="str">
        <f t="shared" si="3"/>
        <v>Заполнено корректно</v>
      </c>
      <c r="F51" s="2" t="str">
        <f t="shared" si="4"/>
        <v>Некорректный ввод</v>
      </c>
      <c r="G51" t="str">
        <f t="shared" si="5"/>
        <v>Не выбрано</v>
      </c>
      <c r="H51" t="str">
        <f t="shared" si="6"/>
        <v>Другой город из списка</v>
      </c>
      <c r="I51" t="str">
        <f t="shared" si="7"/>
        <v>Некорректный ввод</v>
      </c>
      <c r="J51" t="str">
        <f t="shared" si="8"/>
        <v>Пользователь не зарегистрирован</v>
      </c>
    </row>
    <row r="52" spans="1:10" x14ac:dyDescent="0.25">
      <c r="A52" s="1">
        <v>51</v>
      </c>
      <c r="B52" t="str">
        <f t="shared" si="0"/>
        <v>Заполнено корректно</v>
      </c>
      <c r="C52" t="str">
        <f t="shared" si="1"/>
        <v>Заполнено корректно</v>
      </c>
      <c r="D52" t="str">
        <f t="shared" si="2"/>
        <v>Заполнено корректно</v>
      </c>
      <c r="E52" t="str">
        <f t="shared" si="3"/>
        <v>Заполнено корректно</v>
      </c>
      <c r="F52" s="2" t="str">
        <f t="shared" si="4"/>
        <v>Некорректный ввод</v>
      </c>
      <c r="G52" t="str">
        <f t="shared" si="5"/>
        <v>Не выбрано</v>
      </c>
      <c r="H52" t="str">
        <f t="shared" si="6"/>
        <v>Другой город из списка</v>
      </c>
      <c r="I52" t="str">
        <f t="shared" si="7"/>
        <v>Пустой ввод</v>
      </c>
      <c r="J52" t="str">
        <f t="shared" si="8"/>
        <v>Пользователь не зарегистрирован</v>
      </c>
    </row>
    <row r="53" spans="1:10" x14ac:dyDescent="0.25">
      <c r="A53" s="4">
        <v>52</v>
      </c>
      <c r="B53" t="str">
        <f t="shared" si="0"/>
        <v>Заполнено корректно</v>
      </c>
      <c r="C53" t="str">
        <f t="shared" si="1"/>
        <v>Заполнено корректно</v>
      </c>
      <c r="D53" t="str">
        <f t="shared" si="2"/>
        <v>Заполнено корректно</v>
      </c>
      <c r="E53" t="str">
        <f t="shared" si="3"/>
        <v>Заполнено корректно</v>
      </c>
      <c r="F53" s="2" t="str">
        <f t="shared" si="4"/>
        <v>Некорректный ввод</v>
      </c>
      <c r="G53" t="str">
        <f t="shared" si="5"/>
        <v>Не выбрано</v>
      </c>
      <c r="H53" t="str">
        <f t="shared" si="6"/>
        <v>Некорректный ввод</v>
      </c>
      <c r="I53" t="str">
        <f t="shared" si="7"/>
        <v>Заполнено корректно</v>
      </c>
      <c r="J53" t="str">
        <f t="shared" si="8"/>
        <v>Пользователь не зарегистрирован</v>
      </c>
    </row>
    <row r="54" spans="1:10" x14ac:dyDescent="0.25">
      <c r="A54" s="4">
        <v>53</v>
      </c>
      <c r="B54" t="str">
        <f t="shared" si="0"/>
        <v>Заполнено корректно</v>
      </c>
      <c r="C54" t="str">
        <f t="shared" si="1"/>
        <v>Заполнено корректно</v>
      </c>
      <c r="D54" t="str">
        <f t="shared" si="2"/>
        <v>Заполнено корректно</v>
      </c>
      <c r="E54" t="str">
        <f t="shared" si="3"/>
        <v>Заполнено корректно</v>
      </c>
      <c r="F54" s="2" t="str">
        <f t="shared" si="4"/>
        <v>Некорректный ввод</v>
      </c>
      <c r="G54" t="str">
        <f t="shared" si="5"/>
        <v>Не выбрано</v>
      </c>
      <c r="H54" t="str">
        <f t="shared" si="6"/>
        <v>Некорректный ввод</v>
      </c>
      <c r="I54" t="str">
        <f t="shared" si="7"/>
        <v>Некорректный ввод</v>
      </c>
      <c r="J54" t="str">
        <f t="shared" si="8"/>
        <v>Пользователь не зарегистрирован</v>
      </c>
    </row>
    <row r="55" spans="1:10" x14ac:dyDescent="0.25">
      <c r="A55" s="1">
        <v>54</v>
      </c>
      <c r="B55" t="str">
        <f t="shared" si="0"/>
        <v>Заполнено корректно</v>
      </c>
      <c r="C55" t="str">
        <f t="shared" si="1"/>
        <v>Заполнено корректно</v>
      </c>
      <c r="D55" t="str">
        <f t="shared" si="2"/>
        <v>Заполнено корректно</v>
      </c>
      <c r="E55" t="str">
        <f t="shared" si="3"/>
        <v>Заполнено корректно</v>
      </c>
      <c r="F55" s="2" t="str">
        <f t="shared" si="4"/>
        <v>Некорректный ввод</v>
      </c>
      <c r="G55" t="str">
        <f t="shared" si="5"/>
        <v>Не выбрано</v>
      </c>
      <c r="H55" t="str">
        <f t="shared" si="6"/>
        <v>Некорректный ввод</v>
      </c>
      <c r="I55" t="str">
        <f t="shared" si="7"/>
        <v>Пустой ввод</v>
      </c>
      <c r="J55" t="str">
        <f t="shared" si="8"/>
        <v>Пользователь не зарегистрирован</v>
      </c>
    </row>
    <row r="56" spans="1:10" x14ac:dyDescent="0.25">
      <c r="A56" s="1">
        <v>55</v>
      </c>
      <c r="B56" t="str">
        <f t="shared" si="0"/>
        <v>Заполнено корректно</v>
      </c>
      <c r="C56" t="str">
        <f t="shared" si="1"/>
        <v>Заполнено корректно</v>
      </c>
      <c r="D56" t="str">
        <f t="shared" si="2"/>
        <v>Заполнено корректно</v>
      </c>
      <c r="E56" t="str">
        <f t="shared" si="3"/>
        <v>Заполнено корректно</v>
      </c>
      <c r="F56" s="2" t="str">
        <f t="shared" si="4"/>
        <v>Пустой ввод</v>
      </c>
      <c r="G56" t="str">
        <f t="shared" si="5"/>
        <v>М</v>
      </c>
      <c r="H56" t="str">
        <f t="shared" si="6"/>
        <v>Санкт-Петербург</v>
      </c>
      <c r="I56" t="str">
        <f t="shared" si="7"/>
        <v>Заполнено корректно</v>
      </c>
      <c r="J56" t="str">
        <f t="shared" si="8"/>
        <v>Пользователь не зарегистрирован</v>
      </c>
    </row>
    <row r="57" spans="1:10" x14ac:dyDescent="0.25">
      <c r="A57" s="1">
        <v>56</v>
      </c>
      <c r="B57" t="str">
        <f t="shared" si="0"/>
        <v>Заполнено корректно</v>
      </c>
      <c r="C57" t="str">
        <f t="shared" si="1"/>
        <v>Заполнено корректно</v>
      </c>
      <c r="D57" t="str">
        <f t="shared" si="2"/>
        <v>Заполнено корректно</v>
      </c>
      <c r="E57" t="str">
        <f t="shared" si="3"/>
        <v>Заполнено корректно</v>
      </c>
      <c r="F57" s="2" t="str">
        <f t="shared" si="4"/>
        <v>Пустой ввод</v>
      </c>
      <c r="G57" t="str">
        <f t="shared" si="5"/>
        <v>М</v>
      </c>
      <c r="H57" t="str">
        <f t="shared" si="6"/>
        <v>Санкт-Петербург</v>
      </c>
      <c r="I57" t="str">
        <f t="shared" si="7"/>
        <v>Некорректный ввод</v>
      </c>
      <c r="J57" t="str">
        <f t="shared" si="8"/>
        <v>Пользователь не зарегистрирован</v>
      </c>
    </row>
    <row r="58" spans="1:10" x14ac:dyDescent="0.25">
      <c r="A58" s="4">
        <v>57</v>
      </c>
      <c r="B58" t="str">
        <f t="shared" si="0"/>
        <v>Заполнено корректно</v>
      </c>
      <c r="C58" t="str">
        <f t="shared" si="1"/>
        <v>Заполнено корректно</v>
      </c>
      <c r="D58" t="str">
        <f t="shared" si="2"/>
        <v>Заполнено корректно</v>
      </c>
      <c r="E58" t="str">
        <f t="shared" si="3"/>
        <v>Заполнено корректно</v>
      </c>
      <c r="F58" s="2" t="str">
        <f t="shared" si="4"/>
        <v>Пустой ввод</v>
      </c>
      <c r="G58" t="str">
        <f t="shared" si="5"/>
        <v>М</v>
      </c>
      <c r="H58" t="str">
        <f t="shared" si="6"/>
        <v>Санкт-Петербург</v>
      </c>
      <c r="I58" t="str">
        <f t="shared" si="7"/>
        <v>Пустой ввод</v>
      </c>
      <c r="J58" t="str">
        <f t="shared" si="8"/>
        <v>Пользователь не зарегистрирован</v>
      </c>
    </row>
    <row r="59" spans="1:10" x14ac:dyDescent="0.25">
      <c r="A59" s="4">
        <v>58</v>
      </c>
      <c r="B59" t="str">
        <f t="shared" si="0"/>
        <v>Заполнено корректно</v>
      </c>
      <c r="C59" t="str">
        <f t="shared" si="1"/>
        <v>Заполнено корректно</v>
      </c>
      <c r="D59" t="str">
        <f t="shared" si="2"/>
        <v>Заполнено корректно</v>
      </c>
      <c r="E59" t="str">
        <f t="shared" si="3"/>
        <v>Заполнено корректно</v>
      </c>
      <c r="F59" s="2" t="str">
        <f t="shared" si="4"/>
        <v>Пустой ввод</v>
      </c>
      <c r="G59" t="str">
        <f t="shared" si="5"/>
        <v>М</v>
      </c>
      <c r="H59" t="str">
        <f t="shared" si="6"/>
        <v>Другой город из списка</v>
      </c>
      <c r="I59" t="str">
        <f t="shared" si="7"/>
        <v>Заполнено корректно</v>
      </c>
      <c r="J59" t="str">
        <f t="shared" si="8"/>
        <v>Пользователь не зарегистрирован</v>
      </c>
    </row>
    <row r="60" spans="1:10" x14ac:dyDescent="0.25">
      <c r="A60" s="1">
        <v>59</v>
      </c>
      <c r="B60" t="str">
        <f t="shared" si="0"/>
        <v>Заполнено корректно</v>
      </c>
      <c r="C60" t="str">
        <f t="shared" si="1"/>
        <v>Заполнено корректно</v>
      </c>
      <c r="D60" t="str">
        <f t="shared" si="2"/>
        <v>Заполнено корректно</v>
      </c>
      <c r="E60" t="str">
        <f t="shared" si="3"/>
        <v>Заполнено корректно</v>
      </c>
      <c r="F60" s="2" t="str">
        <f t="shared" si="4"/>
        <v>Пустой ввод</v>
      </c>
      <c r="G60" t="str">
        <f t="shared" si="5"/>
        <v>М</v>
      </c>
      <c r="H60" t="str">
        <f t="shared" si="6"/>
        <v>Другой город из списка</v>
      </c>
      <c r="I60" t="str">
        <f t="shared" si="7"/>
        <v>Некорректный ввод</v>
      </c>
      <c r="J60" t="str">
        <f t="shared" si="8"/>
        <v>Пользователь не зарегистрирован</v>
      </c>
    </row>
    <row r="61" spans="1:10" x14ac:dyDescent="0.25">
      <c r="A61" s="1">
        <v>60</v>
      </c>
      <c r="B61" t="str">
        <f t="shared" si="0"/>
        <v>Заполнено корректно</v>
      </c>
      <c r="C61" t="str">
        <f t="shared" si="1"/>
        <v>Заполнено корректно</v>
      </c>
      <c r="D61" t="str">
        <f t="shared" si="2"/>
        <v>Заполнено корректно</v>
      </c>
      <c r="E61" t="str">
        <f t="shared" si="3"/>
        <v>Заполнено корректно</v>
      </c>
      <c r="F61" s="2" t="str">
        <f t="shared" si="4"/>
        <v>Пустой ввод</v>
      </c>
      <c r="G61" t="str">
        <f t="shared" si="5"/>
        <v>М</v>
      </c>
      <c r="H61" t="str">
        <f t="shared" si="6"/>
        <v>Другой город из списка</v>
      </c>
      <c r="I61" t="str">
        <f t="shared" si="7"/>
        <v>Пустой ввод</v>
      </c>
      <c r="J61" t="str">
        <f t="shared" si="8"/>
        <v>Пользователь не зарегистрирован</v>
      </c>
    </row>
    <row r="62" spans="1:10" x14ac:dyDescent="0.25">
      <c r="A62" s="1">
        <v>61</v>
      </c>
      <c r="B62" t="str">
        <f t="shared" si="0"/>
        <v>Заполнено корректно</v>
      </c>
      <c r="C62" t="str">
        <f t="shared" si="1"/>
        <v>Заполнено корректно</v>
      </c>
      <c r="D62" t="str">
        <f t="shared" si="2"/>
        <v>Заполнено корректно</v>
      </c>
      <c r="E62" t="str">
        <f t="shared" si="3"/>
        <v>Заполнено корректно</v>
      </c>
      <c r="F62" s="2" t="str">
        <f t="shared" si="4"/>
        <v>Пустой ввод</v>
      </c>
      <c r="G62" t="str">
        <f t="shared" si="5"/>
        <v>М</v>
      </c>
      <c r="H62" t="str">
        <f t="shared" si="6"/>
        <v>Некорректный ввод</v>
      </c>
      <c r="I62" t="str">
        <f t="shared" si="7"/>
        <v>Заполнено корректно</v>
      </c>
      <c r="J62" t="str">
        <f t="shared" si="8"/>
        <v>Пользователь не зарегистрирован</v>
      </c>
    </row>
    <row r="63" spans="1:10" x14ac:dyDescent="0.25">
      <c r="A63" s="4">
        <v>62</v>
      </c>
      <c r="B63" t="str">
        <f t="shared" si="0"/>
        <v>Заполнено корректно</v>
      </c>
      <c r="C63" t="str">
        <f t="shared" si="1"/>
        <v>Заполнено корректно</v>
      </c>
      <c r="D63" t="str">
        <f t="shared" si="2"/>
        <v>Заполнено корректно</v>
      </c>
      <c r="E63" t="str">
        <f t="shared" si="3"/>
        <v>Заполнено корректно</v>
      </c>
      <c r="F63" s="2" t="str">
        <f t="shared" si="4"/>
        <v>Пустой ввод</v>
      </c>
      <c r="G63" t="str">
        <f t="shared" si="5"/>
        <v>М</v>
      </c>
      <c r="H63" t="str">
        <f t="shared" si="6"/>
        <v>Некорректный ввод</v>
      </c>
      <c r="I63" t="str">
        <f t="shared" si="7"/>
        <v>Некорректный ввод</v>
      </c>
      <c r="J63" t="str">
        <f t="shared" si="8"/>
        <v>Пользователь не зарегистрирован</v>
      </c>
    </row>
    <row r="64" spans="1:10" x14ac:dyDescent="0.25">
      <c r="A64" s="4">
        <v>63</v>
      </c>
      <c r="B64" t="str">
        <f t="shared" si="0"/>
        <v>Заполнено корректно</v>
      </c>
      <c r="C64" t="str">
        <f t="shared" si="1"/>
        <v>Заполнено корректно</v>
      </c>
      <c r="D64" t="str">
        <f t="shared" si="2"/>
        <v>Заполнено корректно</v>
      </c>
      <c r="E64" t="str">
        <f t="shared" si="3"/>
        <v>Заполнено корректно</v>
      </c>
      <c r="F64" s="2" t="str">
        <f t="shared" si="4"/>
        <v>Пустой ввод</v>
      </c>
      <c r="G64" t="str">
        <f t="shared" si="5"/>
        <v>М</v>
      </c>
      <c r="H64" t="str">
        <f t="shared" si="6"/>
        <v>Некорректный ввод</v>
      </c>
      <c r="I64" t="str">
        <f t="shared" si="7"/>
        <v>Пустой ввод</v>
      </c>
      <c r="J64" t="str">
        <f t="shared" si="8"/>
        <v>Пользователь не зарегистрирован</v>
      </c>
    </row>
    <row r="65" spans="1:10" x14ac:dyDescent="0.25">
      <c r="A65" s="1">
        <v>64</v>
      </c>
      <c r="B65" t="str">
        <f t="shared" si="0"/>
        <v>Заполнено корректно</v>
      </c>
      <c r="C65" t="str">
        <f t="shared" si="1"/>
        <v>Заполнено корректно</v>
      </c>
      <c r="D65" t="str">
        <f t="shared" si="2"/>
        <v>Заполнено корректно</v>
      </c>
      <c r="E65" t="str">
        <f t="shared" si="3"/>
        <v>Заполнено корректно</v>
      </c>
      <c r="F65" s="2" t="str">
        <f t="shared" si="4"/>
        <v>Пустой ввод</v>
      </c>
      <c r="G65" t="str">
        <f t="shared" si="5"/>
        <v>Ж</v>
      </c>
      <c r="H65" t="str">
        <f t="shared" si="6"/>
        <v>Санкт-Петербург</v>
      </c>
      <c r="I65" t="str">
        <f t="shared" si="7"/>
        <v>Заполнено корректно</v>
      </c>
      <c r="J65" t="str">
        <f t="shared" si="8"/>
        <v>Пользователь не зарегистрирован</v>
      </c>
    </row>
    <row r="66" spans="1:10" x14ac:dyDescent="0.25">
      <c r="A66" s="1">
        <v>65</v>
      </c>
      <c r="B66" t="str">
        <f t="shared" si="0"/>
        <v>Заполнено корректно</v>
      </c>
      <c r="C66" t="str">
        <f t="shared" si="1"/>
        <v>Заполнено корректно</v>
      </c>
      <c r="D66" t="str">
        <f t="shared" si="2"/>
        <v>Заполнено корректно</v>
      </c>
      <c r="E66" t="str">
        <f t="shared" si="3"/>
        <v>Заполнено корректно</v>
      </c>
      <c r="F66" s="2" t="str">
        <f t="shared" si="4"/>
        <v>Пустой ввод</v>
      </c>
      <c r="G66" t="str">
        <f t="shared" si="5"/>
        <v>Ж</v>
      </c>
      <c r="H66" t="str">
        <f t="shared" si="6"/>
        <v>Санкт-Петербург</v>
      </c>
      <c r="I66" t="str">
        <f t="shared" si="7"/>
        <v>Некорректный ввод</v>
      </c>
      <c r="J66" t="str">
        <f t="shared" si="8"/>
        <v>Пользователь не зарегистрирован</v>
      </c>
    </row>
    <row r="67" spans="1:10" x14ac:dyDescent="0.25">
      <c r="A67" s="1">
        <v>66</v>
      </c>
      <c r="B67" t="str">
        <f t="shared" ref="B67:B82" si="9">CHOOSE(INT((ROW(A66)-1)/2187) + 1, "Заполнено корректно", "Некорректный ввод", "Пустой ввод")</f>
        <v>Заполнено корректно</v>
      </c>
      <c r="C67" t="str">
        <f t="shared" ref="C67:C82" si="10">CHOOSE(MOD(INT((ROW(A66)-1)/729), 3) + 1, "Заполнено корректно", "Некорректный ввод", "Пустой ввод")</f>
        <v>Заполнено корректно</v>
      </c>
      <c r="D67" t="str">
        <f t="shared" ref="D67:D82" si="11">CHOOSE(MOD(INT((ROW(A66)-1)/243), 3) + 1, "Заполнено корректно", "Некорректный ввод", "Пустой ввод")</f>
        <v>Заполнено корректно</v>
      </c>
      <c r="E67" t="str">
        <f t="shared" ref="E67:E82" si="12">CHOOSE(MOD(INT((ROW(A66)-1)/81), 3) + 1, "Заполнено корректно", "Некорректный ввод", "Пустой ввод")</f>
        <v>Заполнено корректно</v>
      </c>
      <c r="F67" s="2" t="str">
        <f t="shared" ref="F67:F82" si="13">CHOOSE(MOD(INT((ROW(A66)-1)/27), 3) + 1, "Заполнено корректно", "Некорректный ввод", "Пустой ввод")</f>
        <v>Пустой ввод</v>
      </c>
      <c r="G67" t="str">
        <f t="shared" ref="G67:G82" si="14">CHOOSE(MOD(INT((ROW(A66)-1)/9), 3) + 1, "М", "Ж", "Не выбрано")</f>
        <v>Ж</v>
      </c>
      <c r="H67" t="str">
        <f t="shared" ref="H67:H82" si="15">CHOOSE(MOD(INT((ROW(A66)-1)/3), 3) + 1, "Санкт-Петербург", "Другой город из списка", "Некорректный ввод")</f>
        <v>Санкт-Петербург</v>
      </c>
      <c r="I67" t="str">
        <f t="shared" ref="I67:I82" si="16">CHOOSE(MOD(ROW(A66)-1, 3) + 1, "Заполнено корректно", "Некорректный ввод", "Пустой ввод")</f>
        <v>Пустой ввод</v>
      </c>
      <c r="J67" t="str">
        <f t="shared" ref="J67:J82" si="17">IF(AND(B67="Заполнено корректно",C67="Заполнено корректно",OR(D67="Заполнено корректно",D67="Пустой ввод"),E67="Заполнено корректно",F67="Заполнено корректно",OR(G67="М",G67="Ж"),OR(H67="Санкт-Петербург",H67="Другой город из списка"),I67="Заполнено корректно"),"Регистрация пользователя","Пользователь не зарегистрирован")</f>
        <v>Пользователь не зарегистрирован</v>
      </c>
    </row>
    <row r="68" spans="1:10" x14ac:dyDescent="0.25">
      <c r="A68" s="4">
        <v>67</v>
      </c>
      <c r="B68" t="str">
        <f t="shared" si="9"/>
        <v>Заполнено корректно</v>
      </c>
      <c r="C68" t="str">
        <f t="shared" si="10"/>
        <v>Заполнено корректно</v>
      </c>
      <c r="D68" t="str">
        <f t="shared" si="11"/>
        <v>Заполнено корректно</v>
      </c>
      <c r="E68" t="str">
        <f t="shared" si="12"/>
        <v>Заполнено корректно</v>
      </c>
      <c r="F68" s="2" t="str">
        <f t="shared" si="13"/>
        <v>Пустой ввод</v>
      </c>
      <c r="G68" t="str">
        <f t="shared" si="14"/>
        <v>Ж</v>
      </c>
      <c r="H68" t="str">
        <f t="shared" si="15"/>
        <v>Другой город из списка</v>
      </c>
      <c r="I68" t="str">
        <f t="shared" si="16"/>
        <v>Заполнено корректно</v>
      </c>
      <c r="J68" t="str">
        <f t="shared" si="17"/>
        <v>Пользователь не зарегистрирован</v>
      </c>
    </row>
    <row r="69" spans="1:10" x14ac:dyDescent="0.25">
      <c r="A69" s="4">
        <v>68</v>
      </c>
      <c r="B69" t="str">
        <f t="shared" si="9"/>
        <v>Заполнено корректно</v>
      </c>
      <c r="C69" t="str">
        <f t="shared" si="10"/>
        <v>Заполнено корректно</v>
      </c>
      <c r="D69" t="str">
        <f t="shared" si="11"/>
        <v>Заполнено корректно</v>
      </c>
      <c r="E69" t="str">
        <f t="shared" si="12"/>
        <v>Заполнено корректно</v>
      </c>
      <c r="F69" s="2" t="str">
        <f t="shared" si="13"/>
        <v>Пустой ввод</v>
      </c>
      <c r="G69" t="str">
        <f t="shared" si="14"/>
        <v>Ж</v>
      </c>
      <c r="H69" t="str">
        <f t="shared" si="15"/>
        <v>Другой город из списка</v>
      </c>
      <c r="I69" t="str">
        <f t="shared" si="16"/>
        <v>Некорректный ввод</v>
      </c>
      <c r="J69" t="str">
        <f t="shared" si="17"/>
        <v>Пользователь не зарегистрирован</v>
      </c>
    </row>
    <row r="70" spans="1:10" x14ac:dyDescent="0.25">
      <c r="A70" s="1">
        <v>69</v>
      </c>
      <c r="B70" t="str">
        <f t="shared" si="9"/>
        <v>Заполнено корректно</v>
      </c>
      <c r="C70" t="str">
        <f t="shared" si="10"/>
        <v>Заполнено корректно</v>
      </c>
      <c r="D70" t="str">
        <f t="shared" si="11"/>
        <v>Заполнено корректно</v>
      </c>
      <c r="E70" t="str">
        <f t="shared" si="12"/>
        <v>Заполнено корректно</v>
      </c>
      <c r="F70" s="2" t="str">
        <f t="shared" si="13"/>
        <v>Пустой ввод</v>
      </c>
      <c r="G70" t="str">
        <f t="shared" si="14"/>
        <v>Ж</v>
      </c>
      <c r="H70" t="str">
        <f t="shared" si="15"/>
        <v>Другой город из списка</v>
      </c>
      <c r="I70" t="str">
        <f t="shared" si="16"/>
        <v>Пустой ввод</v>
      </c>
      <c r="J70" t="str">
        <f t="shared" si="17"/>
        <v>Пользователь не зарегистрирован</v>
      </c>
    </row>
    <row r="71" spans="1:10" x14ac:dyDescent="0.25">
      <c r="A71" s="1">
        <v>70</v>
      </c>
      <c r="B71" t="str">
        <f t="shared" si="9"/>
        <v>Заполнено корректно</v>
      </c>
      <c r="C71" t="str">
        <f t="shared" si="10"/>
        <v>Заполнено корректно</v>
      </c>
      <c r="D71" t="str">
        <f t="shared" si="11"/>
        <v>Заполнено корректно</v>
      </c>
      <c r="E71" t="str">
        <f t="shared" si="12"/>
        <v>Заполнено корректно</v>
      </c>
      <c r="F71" s="2" t="str">
        <f t="shared" si="13"/>
        <v>Пустой ввод</v>
      </c>
      <c r="G71" t="str">
        <f t="shared" si="14"/>
        <v>Ж</v>
      </c>
      <c r="H71" t="str">
        <f t="shared" si="15"/>
        <v>Некорректный ввод</v>
      </c>
      <c r="I71" t="str">
        <f t="shared" si="16"/>
        <v>Заполнено корректно</v>
      </c>
      <c r="J71" t="str">
        <f t="shared" si="17"/>
        <v>Пользователь не зарегистрирован</v>
      </c>
    </row>
    <row r="72" spans="1:10" x14ac:dyDescent="0.25">
      <c r="A72" s="1">
        <v>71</v>
      </c>
      <c r="B72" t="str">
        <f t="shared" si="9"/>
        <v>Заполнено корректно</v>
      </c>
      <c r="C72" t="str">
        <f t="shared" si="10"/>
        <v>Заполнено корректно</v>
      </c>
      <c r="D72" t="str">
        <f t="shared" si="11"/>
        <v>Заполнено корректно</v>
      </c>
      <c r="E72" t="str">
        <f t="shared" si="12"/>
        <v>Заполнено корректно</v>
      </c>
      <c r="F72" s="2" t="str">
        <f t="shared" si="13"/>
        <v>Пустой ввод</v>
      </c>
      <c r="G72" t="str">
        <f t="shared" si="14"/>
        <v>Ж</v>
      </c>
      <c r="H72" t="str">
        <f t="shared" si="15"/>
        <v>Некорректный ввод</v>
      </c>
      <c r="I72" t="str">
        <f t="shared" si="16"/>
        <v>Некорректный ввод</v>
      </c>
      <c r="J72" t="str">
        <f t="shared" si="17"/>
        <v>Пользователь не зарегистрирован</v>
      </c>
    </row>
    <row r="73" spans="1:10" x14ac:dyDescent="0.25">
      <c r="A73" s="4">
        <v>72</v>
      </c>
      <c r="B73" t="str">
        <f t="shared" si="9"/>
        <v>Заполнено корректно</v>
      </c>
      <c r="C73" t="str">
        <f t="shared" si="10"/>
        <v>Заполнено корректно</v>
      </c>
      <c r="D73" t="str">
        <f t="shared" si="11"/>
        <v>Заполнено корректно</v>
      </c>
      <c r="E73" t="str">
        <f t="shared" si="12"/>
        <v>Заполнено корректно</v>
      </c>
      <c r="F73" s="2" t="str">
        <f t="shared" si="13"/>
        <v>Пустой ввод</v>
      </c>
      <c r="G73" t="str">
        <f t="shared" si="14"/>
        <v>Ж</v>
      </c>
      <c r="H73" t="str">
        <f t="shared" si="15"/>
        <v>Некорректный ввод</v>
      </c>
      <c r="I73" t="str">
        <f t="shared" si="16"/>
        <v>Пустой ввод</v>
      </c>
      <c r="J73" t="str">
        <f t="shared" si="17"/>
        <v>Пользователь не зарегистрирован</v>
      </c>
    </row>
    <row r="74" spans="1:10" x14ac:dyDescent="0.25">
      <c r="A74" s="4">
        <v>73</v>
      </c>
      <c r="B74" t="str">
        <f t="shared" si="9"/>
        <v>Заполнено корректно</v>
      </c>
      <c r="C74" t="str">
        <f t="shared" si="10"/>
        <v>Заполнено корректно</v>
      </c>
      <c r="D74" t="str">
        <f t="shared" si="11"/>
        <v>Заполнено корректно</v>
      </c>
      <c r="E74" t="str">
        <f t="shared" si="12"/>
        <v>Заполнено корректно</v>
      </c>
      <c r="F74" s="2" t="str">
        <f t="shared" si="13"/>
        <v>Пустой ввод</v>
      </c>
      <c r="G74" t="str">
        <f t="shared" si="14"/>
        <v>Не выбрано</v>
      </c>
      <c r="H74" t="str">
        <f t="shared" si="15"/>
        <v>Санкт-Петербург</v>
      </c>
      <c r="I74" t="str">
        <f t="shared" si="16"/>
        <v>Заполнено корректно</v>
      </c>
      <c r="J74" t="str">
        <f t="shared" si="17"/>
        <v>Пользователь не зарегистрирован</v>
      </c>
    </row>
    <row r="75" spans="1:10" x14ac:dyDescent="0.25">
      <c r="A75" s="1">
        <v>74</v>
      </c>
      <c r="B75" t="str">
        <f t="shared" si="9"/>
        <v>Заполнено корректно</v>
      </c>
      <c r="C75" t="str">
        <f t="shared" si="10"/>
        <v>Заполнено корректно</v>
      </c>
      <c r="D75" t="str">
        <f t="shared" si="11"/>
        <v>Заполнено корректно</v>
      </c>
      <c r="E75" t="str">
        <f t="shared" si="12"/>
        <v>Заполнено корректно</v>
      </c>
      <c r="F75" s="2" t="str">
        <f t="shared" si="13"/>
        <v>Пустой ввод</v>
      </c>
      <c r="G75" t="str">
        <f t="shared" si="14"/>
        <v>Не выбрано</v>
      </c>
      <c r="H75" t="str">
        <f t="shared" si="15"/>
        <v>Санкт-Петербург</v>
      </c>
      <c r="I75" t="str">
        <f t="shared" si="16"/>
        <v>Некорректный ввод</v>
      </c>
      <c r="J75" t="str">
        <f t="shared" si="17"/>
        <v>Пользователь не зарегистрирован</v>
      </c>
    </row>
    <row r="76" spans="1:10" x14ac:dyDescent="0.25">
      <c r="A76" s="1">
        <v>75</v>
      </c>
      <c r="B76" t="str">
        <f t="shared" si="9"/>
        <v>Заполнено корректно</v>
      </c>
      <c r="C76" t="str">
        <f t="shared" si="10"/>
        <v>Заполнено корректно</v>
      </c>
      <c r="D76" t="str">
        <f t="shared" si="11"/>
        <v>Заполнено корректно</v>
      </c>
      <c r="E76" t="str">
        <f t="shared" si="12"/>
        <v>Заполнено корректно</v>
      </c>
      <c r="F76" s="2" t="str">
        <f t="shared" si="13"/>
        <v>Пустой ввод</v>
      </c>
      <c r="G76" t="str">
        <f t="shared" si="14"/>
        <v>Не выбрано</v>
      </c>
      <c r="H76" t="str">
        <f t="shared" si="15"/>
        <v>Санкт-Петербург</v>
      </c>
      <c r="I76" t="str">
        <f t="shared" si="16"/>
        <v>Пустой ввод</v>
      </c>
      <c r="J76" t="str">
        <f t="shared" si="17"/>
        <v>Пользователь не зарегистрирован</v>
      </c>
    </row>
    <row r="77" spans="1:10" x14ac:dyDescent="0.25">
      <c r="A77" s="1">
        <v>76</v>
      </c>
      <c r="B77" t="str">
        <f t="shared" si="9"/>
        <v>Заполнено корректно</v>
      </c>
      <c r="C77" t="str">
        <f t="shared" si="10"/>
        <v>Заполнено корректно</v>
      </c>
      <c r="D77" t="str">
        <f t="shared" si="11"/>
        <v>Заполнено корректно</v>
      </c>
      <c r="E77" t="str">
        <f t="shared" si="12"/>
        <v>Заполнено корректно</v>
      </c>
      <c r="F77" s="2" t="str">
        <f t="shared" si="13"/>
        <v>Пустой ввод</v>
      </c>
      <c r="G77" t="str">
        <f t="shared" si="14"/>
        <v>Не выбрано</v>
      </c>
      <c r="H77" t="str">
        <f t="shared" si="15"/>
        <v>Другой город из списка</v>
      </c>
      <c r="I77" t="str">
        <f t="shared" si="16"/>
        <v>Заполнено корректно</v>
      </c>
      <c r="J77" t="str">
        <f t="shared" si="17"/>
        <v>Пользователь не зарегистрирован</v>
      </c>
    </row>
    <row r="78" spans="1:10" x14ac:dyDescent="0.25">
      <c r="A78" s="4">
        <v>77</v>
      </c>
      <c r="B78" t="str">
        <f t="shared" si="9"/>
        <v>Заполнено корректно</v>
      </c>
      <c r="C78" t="str">
        <f t="shared" si="10"/>
        <v>Заполнено корректно</v>
      </c>
      <c r="D78" t="str">
        <f t="shared" si="11"/>
        <v>Заполнено корректно</v>
      </c>
      <c r="E78" t="str">
        <f t="shared" si="12"/>
        <v>Заполнено корректно</v>
      </c>
      <c r="F78" s="2" t="str">
        <f t="shared" si="13"/>
        <v>Пустой ввод</v>
      </c>
      <c r="G78" t="str">
        <f t="shared" si="14"/>
        <v>Не выбрано</v>
      </c>
      <c r="H78" t="str">
        <f t="shared" si="15"/>
        <v>Другой город из списка</v>
      </c>
      <c r="I78" t="str">
        <f t="shared" si="16"/>
        <v>Некорректный ввод</v>
      </c>
      <c r="J78" t="str">
        <f t="shared" si="17"/>
        <v>Пользователь не зарегистрирован</v>
      </c>
    </row>
    <row r="79" spans="1:10" x14ac:dyDescent="0.25">
      <c r="A79" s="4">
        <v>78</v>
      </c>
      <c r="B79" t="str">
        <f t="shared" si="9"/>
        <v>Заполнено корректно</v>
      </c>
      <c r="C79" t="str">
        <f t="shared" si="10"/>
        <v>Заполнено корректно</v>
      </c>
      <c r="D79" t="str">
        <f t="shared" si="11"/>
        <v>Заполнено корректно</v>
      </c>
      <c r="E79" t="str">
        <f t="shared" si="12"/>
        <v>Заполнено корректно</v>
      </c>
      <c r="F79" s="2" t="str">
        <f t="shared" si="13"/>
        <v>Пустой ввод</v>
      </c>
      <c r="G79" t="str">
        <f t="shared" si="14"/>
        <v>Не выбрано</v>
      </c>
      <c r="H79" t="str">
        <f t="shared" si="15"/>
        <v>Другой город из списка</v>
      </c>
      <c r="I79" t="str">
        <f t="shared" si="16"/>
        <v>Пустой ввод</v>
      </c>
      <c r="J79" t="str">
        <f t="shared" si="17"/>
        <v>Пользователь не зарегистрирован</v>
      </c>
    </row>
    <row r="80" spans="1:10" x14ac:dyDescent="0.25">
      <c r="A80" s="1">
        <v>79</v>
      </c>
      <c r="B80" t="str">
        <f t="shared" si="9"/>
        <v>Заполнено корректно</v>
      </c>
      <c r="C80" t="str">
        <f t="shared" si="10"/>
        <v>Заполнено корректно</v>
      </c>
      <c r="D80" t="str">
        <f t="shared" si="11"/>
        <v>Заполнено корректно</v>
      </c>
      <c r="E80" t="str">
        <f t="shared" si="12"/>
        <v>Заполнено корректно</v>
      </c>
      <c r="F80" s="2" t="str">
        <f t="shared" si="13"/>
        <v>Пустой ввод</v>
      </c>
      <c r="G80" t="str">
        <f t="shared" si="14"/>
        <v>Не выбрано</v>
      </c>
      <c r="H80" t="str">
        <f t="shared" si="15"/>
        <v>Некорректный ввод</v>
      </c>
      <c r="I80" t="str">
        <f t="shared" si="16"/>
        <v>Заполнено корректно</v>
      </c>
      <c r="J80" t="str">
        <f t="shared" si="17"/>
        <v>Пользователь не зарегистрирован</v>
      </c>
    </row>
    <row r="81" spans="1:10" x14ac:dyDescent="0.25">
      <c r="A81" s="4">
        <v>80</v>
      </c>
      <c r="B81" t="str">
        <f t="shared" si="9"/>
        <v>Заполнено корректно</v>
      </c>
      <c r="C81" t="str">
        <f t="shared" si="10"/>
        <v>Заполнено корректно</v>
      </c>
      <c r="D81" t="str">
        <f t="shared" si="11"/>
        <v>Заполнено корректно</v>
      </c>
      <c r="E81" t="str">
        <f t="shared" si="12"/>
        <v>Заполнено корректно</v>
      </c>
      <c r="F81" s="2" t="str">
        <f t="shared" si="13"/>
        <v>Пустой ввод</v>
      </c>
      <c r="G81" t="str">
        <f t="shared" si="14"/>
        <v>Не выбрано</v>
      </c>
      <c r="H81" t="str">
        <f t="shared" si="15"/>
        <v>Некорректный ввод</v>
      </c>
      <c r="I81" t="str">
        <f t="shared" si="16"/>
        <v>Некорректный ввод</v>
      </c>
      <c r="J81" t="str">
        <f t="shared" si="17"/>
        <v>Пользователь не зарегистрирован</v>
      </c>
    </row>
    <row r="82" spans="1:10" x14ac:dyDescent="0.25">
      <c r="A82" s="1">
        <v>81</v>
      </c>
      <c r="B82" t="str">
        <f t="shared" si="9"/>
        <v>Заполнено корректно</v>
      </c>
      <c r="C82" t="str">
        <f t="shared" si="10"/>
        <v>Заполнено корректно</v>
      </c>
      <c r="D82" t="str">
        <f t="shared" si="11"/>
        <v>Заполнено корректно</v>
      </c>
      <c r="E82" t="str">
        <f t="shared" si="12"/>
        <v>Заполнено корректно</v>
      </c>
      <c r="F82" s="2" t="str">
        <f t="shared" si="13"/>
        <v>Пустой ввод</v>
      </c>
      <c r="G82" t="str">
        <f t="shared" si="14"/>
        <v>Не выбрано</v>
      </c>
      <c r="H82" t="str">
        <f t="shared" si="15"/>
        <v>Некорректный ввод</v>
      </c>
      <c r="I82" t="str">
        <f t="shared" si="16"/>
        <v>Пустой ввод</v>
      </c>
      <c r="J82" t="str">
        <f t="shared" si="17"/>
        <v>Пользователь не зарегистрирован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2026-09-19T13:59:17Z</dcterms:modified>
</cp:coreProperties>
</file>